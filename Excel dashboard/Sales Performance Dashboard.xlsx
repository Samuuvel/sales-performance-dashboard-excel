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drawings/drawing2.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defaultThemeVersion="202300"/>
  <mc:AlternateContent xmlns:mc="http://schemas.openxmlformats.org/markup-compatibility/2006">
    <mc:Choice Requires="x15">
      <x15ac:absPath xmlns:x15ac="http://schemas.microsoft.com/office/spreadsheetml/2010/11/ac" url="https://d.docs.live.net/10b9df570260c7ef/Data _ Analytics _ practice/"/>
    </mc:Choice>
  </mc:AlternateContent>
  <xr:revisionPtr revIDLastSave="48" documentId="8_{F775C9E7-D4C1-4929-A034-7C59FA379276}" xr6:coauthVersionLast="47" xr6:coauthVersionMax="47" xr10:uidLastSave="{11546134-6717-4701-99AD-5362F41D4D0C}"/>
  <workbookProtection workbookAlgorithmName="SHA-512" workbookHashValue="uHmNsBUI6pkDZTCruzEBMUAiV1nW2YxwEgHYiJTiVRv5nxAQ0NLqSBeDhVqp32vPsprUDUgQyvAVSRxlm1lyYg==" workbookSaltValue="FjhY/ueWJB6xtnCStB+yLA==" workbookSpinCount="100000" lockStructure="1"/>
  <bookViews>
    <workbookView xWindow="-108" yWindow="-108" windowWidth="23256" windowHeight="12456" tabRatio="924" xr2:uid="{6B70745D-CA76-47D3-A56C-0653EA7340DF}"/>
  </bookViews>
  <sheets>
    <sheet name="Day 20 - Dashboard" sheetId="41" r:id="rId1"/>
    <sheet name="Day 20 -Project - Raw data" sheetId="30" state="hidden" r:id="rId2"/>
    <sheet name="Day 20 - Power Qurey Table" sheetId="31" state="hidden" r:id="rId3"/>
    <sheet name="Day 20-  MONTH-WISE SALES TREND" sheetId="33" state="hidden" r:id="rId4"/>
    <sheet name="Day 20 -REGION-WISE PROFIT" sheetId="34" state="hidden" r:id="rId5"/>
    <sheet name="Day 20 - PROFIT MARGIN BY CATEG" sheetId="37" state="hidden" r:id="rId6"/>
    <sheet name="Day 20- TOP 5 CITIES BY PROFIT" sheetId="40" state="hidden" r:id="rId7"/>
  </sheets>
  <definedNames>
    <definedName name="ExternalData_1" localSheetId="2" hidden="1">'Day 20 - Power Qurey Table'!$A$1:$K$212</definedName>
    <definedName name="Slicer_Category">#N/A</definedName>
    <definedName name="Slicer_Region">#N/A</definedName>
    <definedName name="Slicer_Year">#N/A</definedName>
  </definedNames>
  <calcPr calcId="191029"/>
  <pivotCaches>
    <pivotCache cacheId="0"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5" i="41" l="1"/>
  <c r="B5" i="41"/>
  <c r="L5" i="41"/>
  <c r="J34" i="30"/>
  <c r="J35" i="30"/>
  <c r="J36" i="30"/>
  <c r="J37" i="30"/>
  <c r="J38" i="30"/>
  <c r="J39" i="30"/>
  <c r="J40" i="30"/>
  <c r="J41" i="30"/>
  <c r="J42" i="30"/>
  <c r="J43" i="30"/>
  <c r="J44" i="30"/>
  <c r="J45" i="30"/>
  <c r="J46" i="30"/>
  <c r="J47" i="30"/>
  <c r="J48" i="30"/>
  <c r="J49" i="30"/>
  <c r="J50" i="30"/>
  <c r="J51" i="30"/>
  <c r="J52" i="30"/>
  <c r="J53" i="30"/>
  <c r="J54" i="30"/>
  <c r="J55" i="30"/>
  <c r="J56" i="30"/>
  <c r="J57" i="30"/>
  <c r="J58" i="30"/>
  <c r="J59" i="30"/>
  <c r="J60" i="30"/>
  <c r="J61" i="30"/>
  <c r="J62" i="30"/>
  <c r="J63" i="30"/>
  <c r="J64" i="30"/>
  <c r="J65" i="30"/>
  <c r="J66" i="30"/>
  <c r="J67" i="30"/>
  <c r="J68" i="30"/>
  <c r="J69" i="30"/>
  <c r="J70" i="30"/>
  <c r="J71" i="30"/>
  <c r="J72" i="30"/>
  <c r="J73" i="30"/>
  <c r="I3" i="30"/>
  <c r="I4" i="30"/>
  <c r="I5" i="30"/>
  <c r="I6" i="30"/>
  <c r="I7" i="30"/>
  <c r="I8" i="30"/>
  <c r="I9" i="30"/>
  <c r="I10" i="30"/>
  <c r="I11" i="30"/>
  <c r="I12" i="30"/>
  <c r="I13" i="30"/>
  <c r="I14" i="30"/>
  <c r="I15" i="30"/>
  <c r="I16" i="30"/>
  <c r="I17" i="30"/>
  <c r="I18" i="30"/>
  <c r="I19" i="30"/>
  <c r="I20" i="30"/>
  <c r="I21" i="30"/>
  <c r="I22" i="30"/>
  <c r="I23" i="30"/>
  <c r="I24" i="30"/>
  <c r="I25" i="30"/>
  <c r="I26" i="30"/>
  <c r="I27" i="30"/>
  <c r="I28" i="30"/>
  <c r="I29" i="30"/>
  <c r="I30" i="30"/>
  <c r="I31" i="30"/>
  <c r="I32" i="30"/>
  <c r="I33" i="30"/>
  <c r="I34" i="30"/>
  <c r="I35" i="30"/>
  <c r="I36" i="30"/>
  <c r="I37" i="30"/>
  <c r="I38" i="30"/>
  <c r="I39" i="30"/>
  <c r="I40" i="30"/>
  <c r="I41" i="30"/>
  <c r="I42" i="30"/>
  <c r="I43" i="30"/>
  <c r="I44" i="30"/>
  <c r="I45" i="30"/>
  <c r="I46" i="30"/>
  <c r="I47" i="30"/>
  <c r="I48" i="30"/>
  <c r="I49" i="30"/>
  <c r="I50" i="30"/>
  <c r="I51" i="30"/>
  <c r="I52" i="30"/>
  <c r="I53" i="30"/>
  <c r="I54" i="30"/>
  <c r="I55" i="30"/>
  <c r="I56" i="30"/>
  <c r="I57" i="30"/>
  <c r="I58" i="30"/>
  <c r="I59" i="30"/>
  <c r="I60" i="30"/>
  <c r="I61" i="30"/>
  <c r="I62" i="30"/>
  <c r="I63" i="30"/>
  <c r="I64" i="30"/>
  <c r="I65" i="30"/>
  <c r="I66" i="30"/>
  <c r="I67" i="30"/>
  <c r="I68" i="30"/>
  <c r="I69" i="30"/>
  <c r="I70" i="30"/>
  <c r="I71" i="30"/>
  <c r="I72" i="30"/>
  <c r="I73" i="30"/>
  <c r="I74" i="30"/>
  <c r="I75" i="30"/>
  <c r="I76" i="30"/>
  <c r="I77" i="30"/>
  <c r="I78" i="30"/>
  <c r="I79" i="30"/>
  <c r="I80" i="30"/>
  <c r="I81" i="30"/>
  <c r="I82" i="30"/>
  <c r="I83" i="30"/>
  <c r="I84" i="30"/>
  <c r="I85" i="30"/>
  <c r="I86" i="30"/>
  <c r="I87" i="30"/>
  <c r="I88" i="30"/>
  <c r="I89" i="30"/>
  <c r="I90" i="30"/>
  <c r="I91" i="30"/>
  <c r="I92" i="30"/>
  <c r="I93" i="30"/>
  <c r="I94" i="30"/>
  <c r="I95" i="30"/>
  <c r="I96" i="30"/>
  <c r="I97" i="30"/>
  <c r="I98" i="30"/>
  <c r="I99" i="30"/>
  <c r="I100" i="30"/>
  <c r="I101" i="30"/>
  <c r="I102" i="30"/>
  <c r="I103" i="30"/>
  <c r="I104" i="30"/>
  <c r="I105" i="30"/>
  <c r="I106" i="30"/>
  <c r="I107" i="30"/>
  <c r="I108" i="30"/>
  <c r="I109" i="30"/>
  <c r="I110" i="30"/>
  <c r="I111" i="30"/>
  <c r="I112" i="30"/>
  <c r="I113" i="30"/>
  <c r="I114" i="30"/>
  <c r="I115" i="30"/>
  <c r="I116" i="30"/>
  <c r="I117" i="30"/>
  <c r="I118" i="30"/>
  <c r="I119" i="30"/>
  <c r="I120" i="30"/>
  <c r="I121" i="30"/>
  <c r="I122" i="30"/>
  <c r="I123" i="30"/>
  <c r="I124" i="30"/>
  <c r="I125" i="30"/>
  <c r="I126" i="30"/>
  <c r="I127" i="30"/>
  <c r="I128" i="30"/>
  <c r="I129" i="30"/>
  <c r="I130" i="30"/>
  <c r="I131" i="30"/>
  <c r="I132" i="30"/>
  <c r="I133" i="30"/>
  <c r="I134" i="30"/>
  <c r="I135" i="30"/>
  <c r="I136" i="30"/>
  <c r="I137" i="30"/>
  <c r="I138" i="30"/>
  <c r="I139" i="30"/>
  <c r="I140" i="30"/>
  <c r="I141" i="30"/>
  <c r="I142" i="30"/>
  <c r="I143" i="30"/>
  <c r="I144" i="30"/>
  <c r="I145" i="30"/>
  <c r="I146" i="30"/>
  <c r="I147" i="30"/>
  <c r="I148" i="30"/>
  <c r="I149" i="30"/>
  <c r="I150" i="30"/>
  <c r="I151" i="30"/>
  <c r="I152" i="30"/>
  <c r="I153" i="30"/>
  <c r="I154" i="30"/>
  <c r="I155" i="30"/>
  <c r="I156" i="30"/>
  <c r="I157" i="30"/>
  <c r="I158" i="30"/>
  <c r="I159" i="30"/>
  <c r="I160" i="30"/>
  <c r="I161" i="30"/>
  <c r="I162" i="30"/>
  <c r="I163" i="30"/>
  <c r="I164" i="30"/>
  <c r="I165" i="30"/>
  <c r="I166" i="30"/>
  <c r="I167" i="30"/>
  <c r="I168" i="30"/>
  <c r="I169" i="30"/>
  <c r="I170" i="30"/>
  <c r="I171" i="30"/>
  <c r="I172" i="30"/>
  <c r="I173" i="30"/>
  <c r="I174" i="30"/>
  <c r="I175" i="30"/>
  <c r="I176" i="30"/>
  <c r="I177" i="30"/>
  <c r="I178" i="30"/>
  <c r="I179" i="30"/>
  <c r="I180" i="30"/>
  <c r="I181" i="30"/>
  <c r="I182" i="30"/>
  <c r="I183" i="30"/>
  <c r="I184" i="30"/>
  <c r="I185" i="30"/>
  <c r="I186" i="30"/>
  <c r="I187" i="30"/>
  <c r="I188" i="30"/>
  <c r="I189" i="30"/>
  <c r="I190" i="30"/>
  <c r="I191" i="30"/>
  <c r="I192" i="30"/>
  <c r="I193" i="30"/>
  <c r="I194" i="30"/>
  <c r="I195" i="30"/>
  <c r="I196" i="30"/>
  <c r="I197" i="30"/>
  <c r="I198" i="30"/>
  <c r="I199" i="30"/>
  <c r="I200" i="30"/>
  <c r="I201" i="30"/>
  <c r="I202" i="30"/>
  <c r="I203" i="30"/>
  <c r="I204" i="30"/>
  <c r="I205" i="30"/>
  <c r="I206" i="30"/>
  <c r="I207" i="30"/>
  <c r="I208" i="30"/>
  <c r="I209" i="30"/>
  <c r="I210" i="30"/>
  <c r="I211" i="30"/>
  <c r="I212" i="30"/>
  <c r="J3" i="30"/>
  <c r="J4" i="30"/>
  <c r="J5" i="30"/>
  <c r="J6" i="30"/>
  <c r="J7" i="30"/>
  <c r="J8" i="30"/>
  <c r="J9" i="30"/>
  <c r="J10" i="30"/>
  <c r="J11" i="30"/>
  <c r="J12" i="30"/>
  <c r="J13" i="30"/>
  <c r="J14" i="30"/>
  <c r="J15" i="30"/>
  <c r="J16" i="30"/>
  <c r="J17" i="30"/>
  <c r="J18" i="30"/>
  <c r="J19" i="30"/>
  <c r="J20" i="30"/>
  <c r="J21" i="30"/>
  <c r="J22" i="30"/>
  <c r="J23" i="30"/>
  <c r="J24" i="30"/>
  <c r="J25" i="30"/>
  <c r="J26" i="30"/>
  <c r="J27" i="30"/>
  <c r="J28" i="30"/>
  <c r="J29" i="30"/>
  <c r="J30" i="30"/>
  <c r="J31" i="30"/>
  <c r="J32" i="30"/>
  <c r="J33" i="30"/>
  <c r="J74" i="30"/>
  <c r="J75" i="30"/>
  <c r="J76" i="30"/>
  <c r="J77" i="30"/>
  <c r="J78" i="30"/>
  <c r="J79" i="30"/>
  <c r="J80" i="30"/>
  <c r="J81" i="30"/>
  <c r="J82" i="30"/>
  <c r="J83" i="30"/>
  <c r="J84" i="30"/>
  <c r="J85" i="30"/>
  <c r="J86" i="30"/>
  <c r="J87" i="30"/>
  <c r="J88" i="30"/>
  <c r="J89" i="30"/>
  <c r="J90" i="30"/>
  <c r="J91" i="30"/>
  <c r="J92" i="30"/>
  <c r="J93" i="30"/>
  <c r="J94" i="30"/>
  <c r="J95" i="30"/>
  <c r="J96" i="30"/>
  <c r="J97" i="30"/>
  <c r="J98" i="30"/>
  <c r="J99" i="30"/>
  <c r="J100" i="30"/>
  <c r="J101" i="30"/>
  <c r="J102" i="30"/>
  <c r="J103" i="30"/>
  <c r="J104" i="30"/>
  <c r="J105" i="30"/>
  <c r="J106" i="30"/>
  <c r="J107" i="30"/>
  <c r="J108" i="30"/>
  <c r="J109" i="30"/>
  <c r="J110" i="30"/>
  <c r="J111" i="30"/>
  <c r="J112" i="30"/>
  <c r="J113" i="30"/>
  <c r="J114" i="30"/>
  <c r="J115" i="30"/>
  <c r="J116" i="30"/>
  <c r="J117" i="30"/>
  <c r="J118" i="30"/>
  <c r="J119" i="30"/>
  <c r="J120" i="30"/>
  <c r="J121" i="30"/>
  <c r="J122" i="30"/>
  <c r="J123" i="30"/>
  <c r="J124" i="30"/>
  <c r="J125" i="30"/>
  <c r="J126" i="30"/>
  <c r="J127" i="30"/>
  <c r="J128" i="30"/>
  <c r="J129" i="30"/>
  <c r="J130" i="30"/>
  <c r="J131" i="30"/>
  <c r="J132" i="30"/>
  <c r="J133" i="30"/>
  <c r="J134" i="30"/>
  <c r="J135" i="30"/>
  <c r="J136" i="30"/>
  <c r="J137" i="30"/>
  <c r="J138" i="30"/>
  <c r="J139" i="30"/>
  <c r="J140" i="30"/>
  <c r="J141" i="30"/>
  <c r="J142" i="30"/>
  <c r="J143" i="30"/>
  <c r="J144" i="30"/>
  <c r="J145" i="30"/>
  <c r="J146" i="30"/>
  <c r="J147" i="30"/>
  <c r="J148" i="30"/>
  <c r="J149" i="30"/>
  <c r="J150" i="30"/>
  <c r="J151" i="30"/>
  <c r="J152" i="30"/>
  <c r="J153" i="30"/>
  <c r="J154" i="30"/>
  <c r="J155" i="30"/>
  <c r="J156" i="30"/>
  <c r="J157" i="30"/>
  <c r="J158" i="30"/>
  <c r="J159" i="30"/>
  <c r="J160" i="30"/>
  <c r="J161" i="30"/>
  <c r="J162" i="30"/>
  <c r="J163" i="30"/>
  <c r="J164" i="30"/>
  <c r="J165" i="30"/>
  <c r="J166" i="30"/>
  <c r="J167" i="30"/>
  <c r="J168" i="30"/>
  <c r="J169" i="30"/>
  <c r="J170" i="30"/>
  <c r="J171" i="30"/>
  <c r="J172" i="30"/>
  <c r="J173" i="30"/>
  <c r="J174" i="30"/>
  <c r="J175" i="30"/>
  <c r="J176" i="30"/>
  <c r="J177" i="30"/>
  <c r="J178" i="30"/>
  <c r="J179" i="30"/>
  <c r="J180" i="30"/>
  <c r="J181" i="30"/>
  <c r="J182" i="30"/>
  <c r="J183" i="30"/>
  <c r="J184" i="30"/>
  <c r="J185" i="30"/>
  <c r="J186" i="30"/>
  <c r="J187" i="30"/>
  <c r="J188" i="30"/>
  <c r="J189" i="30"/>
  <c r="J190" i="30"/>
  <c r="J191" i="30"/>
  <c r="J192" i="30"/>
  <c r="J193" i="30"/>
  <c r="J194" i="30"/>
  <c r="J195" i="30"/>
  <c r="J196" i="30"/>
  <c r="J197" i="30"/>
  <c r="J198" i="30"/>
  <c r="J199" i="30"/>
  <c r="J200" i="30"/>
  <c r="J201" i="30"/>
  <c r="J202" i="30"/>
  <c r="J203" i="30"/>
  <c r="J204" i="30"/>
  <c r="J205" i="30"/>
  <c r="J206" i="30"/>
  <c r="J207" i="30"/>
  <c r="J208" i="30"/>
  <c r="J209" i="30"/>
  <c r="J210" i="30"/>
  <c r="J211" i="30"/>
  <c r="J212" i="30"/>
  <c r="J2" i="30"/>
  <c r="H5" i="41"/>
  <c r="D5" i="41"/>
  <c r="K2" i="30"/>
  <c r="K3" i="30"/>
  <c r="K4" i="30"/>
  <c r="K5" i="30"/>
  <c r="K6" i="30"/>
  <c r="K7" i="30"/>
  <c r="K8" i="30"/>
  <c r="K9" i="30"/>
  <c r="K10" i="30"/>
  <c r="K11" i="30"/>
  <c r="K12" i="30"/>
  <c r="K13" i="30"/>
  <c r="K14" i="30"/>
  <c r="K15" i="30"/>
  <c r="K16" i="30"/>
  <c r="K17" i="30"/>
  <c r="K18" i="30"/>
  <c r="K19" i="30"/>
  <c r="K20" i="30"/>
  <c r="K21" i="30"/>
  <c r="K22" i="30"/>
  <c r="K23" i="30"/>
  <c r="K24" i="30"/>
  <c r="K25" i="30"/>
  <c r="K26" i="30"/>
  <c r="K27" i="30"/>
  <c r="K28" i="30"/>
  <c r="K29" i="30"/>
  <c r="K30" i="30"/>
  <c r="K31" i="30"/>
  <c r="K32" i="30"/>
  <c r="K33" i="30"/>
  <c r="K34" i="30"/>
  <c r="K35" i="30"/>
  <c r="K36" i="30"/>
  <c r="K37" i="30"/>
  <c r="K38" i="30"/>
  <c r="K39" i="30"/>
  <c r="K40" i="30"/>
  <c r="K41" i="30"/>
  <c r="K42" i="30"/>
  <c r="K43" i="30"/>
  <c r="K44" i="30"/>
  <c r="K45" i="30"/>
  <c r="K46" i="30"/>
  <c r="K47" i="30"/>
  <c r="K48" i="30"/>
  <c r="K49" i="30"/>
  <c r="K50" i="30"/>
  <c r="K51" i="30"/>
  <c r="K52" i="30"/>
  <c r="K53" i="30"/>
  <c r="K54" i="30"/>
  <c r="K55" i="30"/>
  <c r="K56" i="30"/>
  <c r="K57" i="30"/>
  <c r="K58" i="30"/>
  <c r="K59" i="30"/>
  <c r="K60" i="30"/>
  <c r="K61" i="30"/>
  <c r="I2" i="30"/>
  <c r="F5" i="41"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D2FFC3A-8145-4CC5-8E88-131AD5BAB331}" keepAlive="1" name="Query - Table7" description="Connection to the 'Table7' query in the workbook." type="5" refreshedVersion="8" background="1" saveData="1">
    <dbPr connection="Provider=Microsoft.Mashup.OleDb.1;Data Source=$Workbook$;Location=Table7;Extended Properties=&quot;&quot;" command="SELECT * FROM [Table7]"/>
  </connection>
  <connection id="2" xr16:uid="{E9416C38-934B-45F0-9878-77EFD4F60F9A}" keepAlive="1" name="Query - Table7 (2)" description="Connection to the 'Table7 (2)' query in the workbook." type="5" refreshedVersion="8" background="1" saveData="1">
    <dbPr connection="Provider=Microsoft.Mashup.OleDb.1;Data Source=$Workbook$;Location=&quot;Table7 (2)&quot;;Extended Properties=&quot;&quot;" command="SELECT * FROM [Table7 (2)]"/>
  </connection>
</connections>
</file>

<file path=xl/sharedStrings.xml><?xml version="1.0" encoding="utf-8"?>
<sst xmlns="http://schemas.openxmlformats.org/spreadsheetml/2006/main" count="2397" uniqueCount="125">
  <si>
    <t>Row Labels</t>
  </si>
  <si>
    <t>Grand Total</t>
  </si>
  <si>
    <t>Month</t>
  </si>
  <si>
    <t>HR</t>
  </si>
  <si>
    <t>Sales</t>
  </si>
  <si>
    <t>Jan</t>
  </si>
  <si>
    <t>Feb</t>
  </si>
  <si>
    <t>Mar</t>
  </si>
  <si>
    <t>Order_Date</t>
  </si>
  <si>
    <t>Region</t>
  </si>
  <si>
    <t>State</t>
  </si>
  <si>
    <t>City</t>
  </si>
  <si>
    <t>Category</t>
  </si>
  <si>
    <t>Product</t>
  </si>
  <si>
    <t>Profit</t>
  </si>
  <si>
    <t>South</t>
  </si>
  <si>
    <t>TN</t>
  </si>
  <si>
    <t>Chennai</t>
  </si>
  <si>
    <t>Electronics</t>
  </si>
  <si>
    <t>Mobile</t>
  </si>
  <si>
    <t>Coimbatore</t>
  </si>
  <si>
    <t>KA</t>
  </si>
  <si>
    <t>Bangalore</t>
  </si>
  <si>
    <t>Furniture</t>
  </si>
  <si>
    <t>Chair</t>
  </si>
  <si>
    <t>North</t>
  </si>
  <si>
    <t>DL</t>
  </si>
  <si>
    <t>Delhi</t>
  </si>
  <si>
    <t>Laptop</t>
  </si>
  <si>
    <t>West</t>
  </si>
  <si>
    <t>MH</t>
  </si>
  <si>
    <t>Mumbai</t>
  </si>
  <si>
    <t>Table</t>
  </si>
  <si>
    <t>East</t>
  </si>
  <si>
    <t>WB</t>
  </si>
  <si>
    <t>Kolkata</t>
  </si>
  <si>
    <t>TV</t>
  </si>
  <si>
    <t>Mysore</t>
  </si>
  <si>
    <t>Headset</t>
  </si>
  <si>
    <t>Gurgaon</t>
  </si>
  <si>
    <t>Sofa</t>
  </si>
  <si>
    <t>Pune</t>
  </si>
  <si>
    <t>OR</t>
  </si>
  <si>
    <t>Bhubaneswar</t>
  </si>
  <si>
    <t>Bed</t>
  </si>
  <si>
    <t>Salem</t>
  </si>
  <si>
    <t>Madurai</t>
  </si>
  <si>
    <t>UP</t>
  </si>
  <si>
    <t>Lucknow</t>
  </si>
  <si>
    <t>GJ</t>
  </si>
  <si>
    <t>Ahmedabad</t>
  </si>
  <si>
    <t>AS</t>
  </si>
  <si>
    <t>Guwahati</t>
  </si>
  <si>
    <t>Hassan</t>
  </si>
  <si>
    <t>Erode</t>
  </si>
  <si>
    <t>PB</t>
  </si>
  <si>
    <t>Amritsar</t>
  </si>
  <si>
    <t>RJ</t>
  </si>
  <si>
    <t>Jaipur</t>
  </si>
  <si>
    <t>JH</t>
  </si>
  <si>
    <t>Ranchi</t>
  </si>
  <si>
    <t>Trichy</t>
  </si>
  <si>
    <t>Udupi</t>
  </si>
  <si>
    <t>UK</t>
  </si>
  <si>
    <t>Dehradun</t>
  </si>
  <si>
    <t>MP</t>
  </si>
  <si>
    <t>Indore</t>
  </si>
  <si>
    <t>BH</t>
  </si>
  <si>
    <t>Patna</t>
  </si>
  <si>
    <t>Vellore</t>
  </si>
  <si>
    <t>Shimoga</t>
  </si>
  <si>
    <t>HP</t>
  </si>
  <si>
    <t>Shimla</t>
  </si>
  <si>
    <t>CG</t>
  </si>
  <si>
    <t>Raipur</t>
  </si>
  <si>
    <t>TR</t>
  </si>
  <si>
    <t>Agartala</t>
  </si>
  <si>
    <t>Ooty</t>
  </si>
  <si>
    <t>Nagpur</t>
  </si>
  <si>
    <t>Durgapur</t>
  </si>
  <si>
    <t>Mangalore</t>
  </si>
  <si>
    <t>Noida</t>
  </si>
  <si>
    <t>Surat</t>
  </si>
  <si>
    <t>Cuttack</t>
  </si>
  <si>
    <t>Hubli</t>
  </si>
  <si>
    <t>Faridabad</t>
  </si>
  <si>
    <t>Kolhapur</t>
  </si>
  <si>
    <t>Gaya</t>
  </si>
  <si>
    <t>Thanjavur</t>
  </si>
  <si>
    <t>Davangere</t>
  </si>
  <si>
    <t>Jodhpur</t>
  </si>
  <si>
    <t>Bhopal</t>
  </si>
  <si>
    <t>Silchar</t>
  </si>
  <si>
    <t>Nagercoil</t>
  </si>
  <si>
    <t>Bijapur</t>
  </si>
  <si>
    <t>Jalandhar</t>
  </si>
  <si>
    <t>Udaipur</t>
  </si>
  <si>
    <t>Dhanbad</t>
  </si>
  <si>
    <t>Hosur</t>
  </si>
  <si>
    <t>Tumkur</t>
  </si>
  <si>
    <t>Haridwar</t>
  </si>
  <si>
    <t>Bilaspur</t>
  </si>
  <si>
    <t>Year</t>
  </si>
  <si>
    <t>Profit Margin</t>
  </si>
  <si>
    <t>Order Date</t>
  </si>
  <si>
    <t>Profit  %</t>
  </si>
  <si>
    <t>Apr</t>
  </si>
  <si>
    <t>Sum of Sales</t>
  </si>
  <si>
    <t>Sum of Profit</t>
  </si>
  <si>
    <t>Average of Profit  %</t>
  </si>
  <si>
    <t>Total Sales</t>
  </si>
  <si>
    <t>Total Profit</t>
  </si>
  <si>
    <t>Total Orders</t>
  </si>
  <si>
    <t>Overall Profit %</t>
  </si>
  <si>
    <t>Avg Order Value</t>
  </si>
  <si>
    <t>Jun</t>
  </si>
  <si>
    <t>Aug</t>
  </si>
  <si>
    <t>Sep</t>
  </si>
  <si>
    <t>Nov</t>
  </si>
  <si>
    <t>May</t>
  </si>
  <si>
    <t>Jul</t>
  </si>
  <si>
    <t>Oct</t>
  </si>
  <si>
    <t>Dec</t>
  </si>
  <si>
    <t xml:space="preserve">Profit  Per Order </t>
  </si>
  <si>
    <r>
      <t xml:space="preserve">                                                                                                                                                                                                                                                 </t>
    </r>
    <r>
      <rPr>
        <b/>
        <u/>
        <sz val="20"/>
        <color theme="1" tint="4.9989318521683403E-2"/>
        <rFont val="Aptos Narrow"/>
        <family val="2"/>
        <scheme val="minor"/>
      </rPr>
      <t>Sales Performance Dashborad</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</si>
</sst>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 #,##0"/>
  </numFmts>
  <fonts count="6" x14ac:knownFonts="1">
    <font>
      <sz val="11"/>
      <color theme="1"/>
      <name val="Aptos Narrow"/>
      <family val="2"/>
      <scheme val="minor"/>
    </font>
    <font>
      <sz val="22"/>
      <color theme="1"/>
      <name val="Aptos Narrow"/>
      <family val="2"/>
      <scheme val="minor"/>
    </font>
    <font>
      <sz val="22"/>
      <color theme="1" tint="4.9989318521683403E-2"/>
      <name val="Aptos Narrow"/>
      <family val="2"/>
      <scheme val="minor"/>
    </font>
    <font>
      <b/>
      <u/>
      <sz val="20"/>
      <color theme="1" tint="4.9989318521683403E-2"/>
      <name val="Aptos Narrow"/>
      <family val="2"/>
      <scheme val="minor"/>
    </font>
    <font>
      <b/>
      <u/>
      <sz val="16"/>
      <color theme="1" tint="4.9989318521683403E-2"/>
      <name val="Aptos Narrow"/>
      <family val="2"/>
      <scheme val="minor"/>
    </font>
    <font>
      <b/>
      <u/>
      <sz val="16"/>
      <color theme="1"/>
      <name val="Aptos Narrow"/>
      <family val="2"/>
      <scheme val="minor"/>
    </font>
  </fonts>
  <fills count="8">
    <fill>
      <patternFill patternType="none"/>
    </fill>
    <fill>
      <patternFill patternType="gray125"/>
    </fill>
    <fill>
      <patternFill patternType="solid">
        <fgColor theme="6" tint="0.79998168889431442"/>
        <bgColor indexed="64"/>
      </patternFill>
    </fill>
    <fill>
      <patternFill patternType="solid">
        <fgColor theme="3" tint="0.89999084444715716"/>
        <bgColor indexed="64"/>
      </patternFill>
    </fill>
    <fill>
      <patternFill patternType="solid">
        <fgColor theme="8" tint="0.79998168889431442"/>
        <bgColor indexed="64"/>
      </patternFill>
    </fill>
    <fill>
      <patternFill patternType="solid">
        <fgColor theme="5" tint="0.79998168889431442"/>
        <bgColor indexed="64"/>
      </patternFill>
    </fill>
    <fill>
      <patternFill patternType="solid">
        <fgColor theme="2" tint="-9.9978637043366805E-2"/>
        <bgColor indexed="64"/>
      </patternFill>
    </fill>
    <fill>
      <patternFill patternType="solid">
        <fgColor rgb="FFF8F88A"/>
        <bgColor indexed="64"/>
      </patternFill>
    </fill>
  </fills>
  <borders count="1">
    <border>
      <left/>
      <right/>
      <top/>
      <bottom/>
      <diagonal/>
    </border>
  </borders>
  <cellStyleXfs count="1">
    <xf numFmtId="0" fontId="0" fillId="0" borderId="0"/>
  </cellStyleXfs>
  <cellXfs count="25">
    <xf numFmtId="0" fontId="0" fillId="0" borderId="0" xfId="0"/>
    <xf numFmtId="0" fontId="0" fillId="0" borderId="0" xfId="0" pivotButton="1"/>
    <xf numFmtId="0" fontId="0" fillId="0" borderId="0" xfId="0" applyAlignment="1">
      <alignment horizontal="left"/>
    </xf>
    <xf numFmtId="14" fontId="0" fillId="0" borderId="0" xfId="0" applyNumberFormat="1"/>
    <xf numFmtId="0" fontId="0" fillId="0" borderId="0" xfId="0" applyAlignment="1">
      <alignment horizontal="left" indent="1"/>
    </xf>
    <xf numFmtId="10" fontId="0" fillId="0" borderId="0" xfId="0" applyNumberFormat="1"/>
    <xf numFmtId="0" fontId="0" fillId="0" borderId="0" xfId="0" applyAlignment="1">
      <alignment vertical="center"/>
    </xf>
    <xf numFmtId="0" fontId="1" fillId="3" borderId="0" xfId="0" applyFont="1" applyFill="1" applyAlignment="1">
      <alignment horizontal="center" vertical="center"/>
    </xf>
    <xf numFmtId="0" fontId="1" fillId="2" borderId="0" xfId="0" applyFont="1" applyFill="1" applyAlignment="1">
      <alignment horizontal="center" vertical="center"/>
    </xf>
    <xf numFmtId="0" fontId="1" fillId="4" borderId="0" xfId="0" applyFont="1" applyFill="1" applyAlignment="1">
      <alignment horizontal="center" vertical="center"/>
    </xf>
    <xf numFmtId="0" fontId="1" fillId="5" borderId="0" xfId="0" applyFont="1" applyFill="1" applyAlignment="1">
      <alignment horizontal="center" vertical="center"/>
    </xf>
    <xf numFmtId="0" fontId="1" fillId="6" borderId="0" xfId="0" applyFont="1" applyFill="1" applyAlignment="1">
      <alignment horizontal="center" vertical="center"/>
    </xf>
    <xf numFmtId="164" fontId="2" fillId="3" borderId="0" xfId="0" applyNumberFormat="1" applyFont="1" applyFill="1" applyAlignment="1">
      <alignment horizontal="center" vertical="center"/>
    </xf>
    <xf numFmtId="164" fontId="2" fillId="2" borderId="0" xfId="0" applyNumberFormat="1" applyFont="1" applyFill="1" applyAlignment="1">
      <alignment horizontal="center" vertical="center"/>
    </xf>
    <xf numFmtId="10" fontId="2" fillId="5" borderId="0" xfId="0" applyNumberFormat="1" applyFont="1" applyFill="1" applyAlignment="1">
      <alignment horizontal="center" vertical="center"/>
    </xf>
    <xf numFmtId="164" fontId="2" fillId="6" borderId="0" xfId="0" applyNumberFormat="1" applyFont="1" applyFill="1" applyAlignment="1">
      <alignment horizontal="center" vertical="center"/>
    </xf>
    <xf numFmtId="0" fontId="4" fillId="5" borderId="0" xfId="0" applyFont="1" applyFill="1" applyAlignment="1">
      <alignment horizontal="center" vertical="center"/>
    </xf>
    <xf numFmtId="0" fontId="5" fillId="4" borderId="0" xfId="0" applyFont="1" applyFill="1" applyAlignment="1">
      <alignment horizontal="center" vertical="center"/>
    </xf>
    <xf numFmtId="0" fontId="4" fillId="2" borderId="0" xfId="0" applyFont="1" applyFill="1" applyAlignment="1">
      <alignment horizontal="center" vertical="center"/>
    </xf>
    <xf numFmtId="0" fontId="4" fillId="3" borderId="0" xfId="0" applyFont="1" applyFill="1" applyAlignment="1">
      <alignment horizontal="center" vertical="center"/>
    </xf>
    <xf numFmtId="0" fontId="4" fillId="6" borderId="0" xfId="0" applyFont="1" applyFill="1" applyAlignment="1">
      <alignment horizontal="center" vertical="center"/>
    </xf>
    <xf numFmtId="0" fontId="4" fillId="7" borderId="0" xfId="0" applyFont="1" applyFill="1" applyAlignment="1">
      <alignment horizontal="center" vertical="center"/>
    </xf>
    <xf numFmtId="164" fontId="2" fillId="7" borderId="0" xfId="0" applyNumberFormat="1" applyFont="1" applyFill="1" applyAlignment="1">
      <alignment horizontal="center" vertical="center"/>
    </xf>
    <xf numFmtId="0" fontId="1" fillId="7" borderId="0" xfId="0" applyFont="1" applyFill="1" applyAlignment="1">
      <alignment horizontal="center" vertical="center"/>
    </xf>
    <xf numFmtId="0" fontId="0" fillId="0" borderId="0" xfId="0" applyAlignment="1">
      <alignment horizontal="left"/>
    </xf>
  </cellXfs>
  <cellStyles count="1">
    <cellStyle name="Normal" xfId="0" builtinId="0"/>
  </cellStyles>
  <dxfs count="13">
    <dxf>
      <numFmt numFmtId="14" formatCode="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14" formatCode="0.00%"/>
    </dxf>
    <dxf>
      <numFmt numFmtId="0" formatCode="General"/>
    </dxf>
    <dxf>
      <numFmt numFmtId="0" formatCode="General"/>
    </dxf>
    <dxf>
      <numFmt numFmtId="19" formatCode="dd/mm/yyyy"/>
    </dxf>
    <dxf>
      <numFmt numFmtId="19" formatCode="dd/mm/yyyy"/>
    </dxf>
  </dxfs>
  <tableStyles count="0" defaultTableStyle="TableStyleMedium2" defaultPivotStyle="PivotStyleLight16"/>
  <colors>
    <mruColors>
      <color rgb="FFF8F88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connections" Target="connections.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Dashboard.xlsx]Day 20-  MONTH-WISE SALES TREND!PivotTable1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2000" b="1">
                <a:solidFill>
                  <a:schemeClr val="tx1">
                    <a:lumMod val="95000"/>
                    <a:lumOff val="5000"/>
                  </a:schemeClr>
                </a:solidFill>
              </a:rPr>
              <a:t>Monthly Sales</a:t>
            </a:r>
            <a:r>
              <a:rPr lang="en-IN" sz="2000" b="1" baseline="0">
                <a:solidFill>
                  <a:schemeClr val="tx1">
                    <a:lumMod val="95000"/>
                    <a:lumOff val="5000"/>
                  </a:schemeClr>
                </a:solidFill>
              </a:rPr>
              <a:t> Trend </a:t>
            </a:r>
            <a:endParaRPr lang="en-IN" sz="2000" b="1">
              <a:solidFill>
                <a:schemeClr val="tx1">
                  <a:lumMod val="95000"/>
                  <a:lumOff val="5000"/>
                </a:schemeClr>
              </a:solidFill>
            </a:endParaRPr>
          </a:p>
        </c:rich>
      </c:tx>
      <c:layout>
        <c:manualLayout>
          <c:xMode val="edge"/>
          <c:yMode val="edge"/>
          <c:x val="0.39379586318526361"/>
          <c:y val="6.754577475658293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chemeClr val="tx2">
                <a:lumMod val="50000"/>
                <a:lumOff val="50000"/>
              </a:schemeClr>
            </a:solidFill>
            <a:round/>
          </a:ln>
          <a:effectLst/>
        </c:spPr>
        <c:marker>
          <c:symbol val="circle"/>
          <c:size val="6"/>
          <c:spPr>
            <a:solidFill>
              <a:schemeClr val="tx2">
                <a:alpha val="66000"/>
              </a:schemeClr>
            </a:solidFill>
            <a:ln w="9525">
              <a:solidFill>
                <a:schemeClr val="tx2">
                  <a:lumMod val="50000"/>
                  <a:lumOff val="5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tx2">
                <a:lumMod val="50000"/>
                <a:lumOff val="50000"/>
              </a:schemeClr>
            </a:solidFill>
            <a:round/>
          </a:ln>
          <a:effectLst/>
        </c:spPr>
        <c:marker>
          <c:symbol val="circle"/>
          <c:size val="6"/>
          <c:spPr>
            <a:solidFill>
              <a:schemeClr val="tx2">
                <a:alpha val="66000"/>
              </a:schemeClr>
            </a:solidFill>
            <a:ln w="9525">
              <a:solidFill>
                <a:schemeClr val="tx2">
                  <a:lumMod val="50000"/>
                  <a:lumOff val="50000"/>
                </a:schemeClr>
              </a:solidFill>
            </a:ln>
            <a:effectLst/>
          </c:spPr>
        </c:marker>
      </c:pivotFmt>
    </c:pivotFmts>
    <c:plotArea>
      <c:layout>
        <c:manualLayout>
          <c:layoutTarget val="inner"/>
          <c:xMode val="edge"/>
          <c:yMode val="edge"/>
          <c:x val="0.10900195584730903"/>
          <c:y val="0.24711218882515096"/>
          <c:w val="0.77536825001749587"/>
          <c:h val="0.50561349405972389"/>
        </c:manualLayout>
      </c:layout>
      <c:lineChart>
        <c:grouping val="stacked"/>
        <c:varyColors val="0"/>
        <c:ser>
          <c:idx val="0"/>
          <c:order val="0"/>
          <c:tx>
            <c:strRef>
              <c:f>'Day 20-  MONTH-WISE SALES TREND'!$B$3</c:f>
              <c:strCache>
                <c:ptCount val="1"/>
                <c:pt idx="0">
                  <c:v>Total</c:v>
                </c:pt>
              </c:strCache>
            </c:strRef>
          </c:tx>
          <c:spPr>
            <a:ln w="28575" cap="rnd">
              <a:solidFill>
                <a:schemeClr val="tx2">
                  <a:lumMod val="50000"/>
                  <a:lumOff val="50000"/>
                </a:schemeClr>
              </a:solidFill>
              <a:round/>
            </a:ln>
            <a:effectLst/>
          </c:spPr>
          <c:marker>
            <c:symbol val="circle"/>
            <c:size val="6"/>
            <c:spPr>
              <a:solidFill>
                <a:schemeClr val="tx2">
                  <a:alpha val="66000"/>
                </a:schemeClr>
              </a:solidFill>
              <a:ln w="9525">
                <a:solidFill>
                  <a:schemeClr val="tx2">
                    <a:lumMod val="50000"/>
                    <a:lumOff val="50000"/>
                  </a:schemeClr>
                </a:solidFill>
              </a:ln>
              <a:effectLst/>
            </c:spPr>
          </c:marker>
          <c:cat>
            <c:multiLvlStrRef>
              <c:f>'Day 20-  MONTH-WISE SALES TREND'!$A$4:$A$30</c:f>
              <c:multiLvlStrCache>
                <c:ptCount val="2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lvl>
                <c:lvl>
                  <c:pt idx="0">
                    <c:v>2024</c:v>
                  </c:pt>
                  <c:pt idx="12">
                    <c:v>2025</c:v>
                  </c:pt>
                </c:lvl>
              </c:multiLvlStrCache>
            </c:multiLvlStrRef>
          </c:cat>
          <c:val>
            <c:numRef>
              <c:f>'Day 20-  MONTH-WISE SALES TREND'!$B$4:$B$30</c:f>
              <c:numCache>
                <c:formatCode>General</c:formatCode>
                <c:ptCount val="24"/>
                <c:pt idx="0">
                  <c:v>995500</c:v>
                </c:pt>
                <c:pt idx="1">
                  <c:v>1012000</c:v>
                </c:pt>
                <c:pt idx="2">
                  <c:v>370000</c:v>
                </c:pt>
                <c:pt idx="3">
                  <c:v>236000</c:v>
                </c:pt>
                <c:pt idx="4">
                  <c:v>199500</c:v>
                </c:pt>
                <c:pt idx="5">
                  <c:v>151500</c:v>
                </c:pt>
                <c:pt idx="6">
                  <c:v>339500</c:v>
                </c:pt>
                <c:pt idx="7">
                  <c:v>211500</c:v>
                </c:pt>
                <c:pt idx="8">
                  <c:v>191500</c:v>
                </c:pt>
                <c:pt idx="9">
                  <c:v>148000</c:v>
                </c:pt>
                <c:pt idx="10">
                  <c:v>190000</c:v>
                </c:pt>
                <c:pt idx="11">
                  <c:v>371000</c:v>
                </c:pt>
                <c:pt idx="12">
                  <c:v>254000</c:v>
                </c:pt>
                <c:pt idx="13">
                  <c:v>239000</c:v>
                </c:pt>
                <c:pt idx="14">
                  <c:v>208000</c:v>
                </c:pt>
                <c:pt idx="15">
                  <c:v>187000</c:v>
                </c:pt>
                <c:pt idx="16">
                  <c:v>165500</c:v>
                </c:pt>
                <c:pt idx="17">
                  <c:v>197000</c:v>
                </c:pt>
                <c:pt idx="18">
                  <c:v>335000</c:v>
                </c:pt>
                <c:pt idx="19">
                  <c:v>216000</c:v>
                </c:pt>
                <c:pt idx="20">
                  <c:v>220000</c:v>
                </c:pt>
                <c:pt idx="21">
                  <c:v>134000</c:v>
                </c:pt>
                <c:pt idx="22">
                  <c:v>190000</c:v>
                </c:pt>
                <c:pt idx="23">
                  <c:v>371000</c:v>
                </c:pt>
              </c:numCache>
            </c:numRef>
          </c:val>
          <c:smooth val="0"/>
          <c:extLst>
            <c:ext xmlns:c16="http://schemas.microsoft.com/office/drawing/2014/chart" uri="{C3380CC4-5D6E-409C-BE32-E72D297353CC}">
              <c16:uniqueId val="{00000000-5C3D-43B8-BD82-68E7F042554C}"/>
            </c:ext>
          </c:extLst>
        </c:ser>
        <c:dLbls>
          <c:showLegendKey val="0"/>
          <c:showVal val="0"/>
          <c:showCatName val="0"/>
          <c:showSerName val="0"/>
          <c:showPercent val="0"/>
          <c:showBubbleSize val="0"/>
        </c:dLbls>
        <c:marker val="1"/>
        <c:smooth val="0"/>
        <c:axId val="852167152"/>
        <c:axId val="852167632"/>
      </c:lineChart>
      <c:catAx>
        <c:axId val="8521671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2167632"/>
        <c:crosses val="autoZero"/>
        <c:auto val="1"/>
        <c:lblAlgn val="ctr"/>
        <c:lblOffset val="100"/>
        <c:noMultiLvlLbl val="0"/>
      </c:catAx>
      <c:valAx>
        <c:axId val="852167632"/>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21671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alpha val="20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Dashboard.xlsx]Day 20 -REGION-WISE PROFIT!PivotTable2</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lumMod val="95000"/>
                    <a:lumOff val="5000"/>
                  </a:schemeClr>
                </a:solidFill>
              </a:rPr>
              <a:t>Region</a:t>
            </a:r>
            <a:r>
              <a:rPr lang="en-US" b="1" baseline="0"/>
              <a:t> </a:t>
            </a:r>
            <a:r>
              <a:rPr lang="en-US" b="1" baseline="0">
                <a:solidFill>
                  <a:schemeClr val="tx1">
                    <a:lumMod val="95000"/>
                    <a:lumOff val="5000"/>
                  </a:schemeClr>
                </a:solidFill>
              </a:rPr>
              <a:t>Profit</a:t>
            </a:r>
            <a:endParaRPr lang="en-US" b="1">
              <a:solidFill>
                <a:schemeClr val="tx1">
                  <a:lumMod val="95000"/>
                  <a:lumOff val="5000"/>
                </a:schemeClr>
              </a:solidFill>
            </a:endParaRPr>
          </a:p>
        </c:rich>
      </c:tx>
      <c:layout>
        <c:manualLayout>
          <c:xMode val="edge"/>
          <c:yMode val="edge"/>
          <c:x val="0.42402823281617508"/>
          <c:y val="0.13813094157760725"/>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2060">
              <a:alpha val="85000"/>
            </a:srgbClr>
          </a:solidFill>
          <a:ln w="28575">
            <a:solidFill>
              <a:srgbClr val="002060"/>
            </a:solidFill>
          </a:ln>
          <a:effectLst/>
        </c:spPr>
        <c:marker>
          <c:symbol val="none"/>
        </c:marker>
        <c:dLbl>
          <c:idx val="0"/>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02060">
              <a:alpha val="85000"/>
            </a:srgbClr>
          </a:solidFill>
          <a:ln w="28575">
            <a:solidFill>
              <a:srgbClr val="002060"/>
            </a:solidFill>
          </a:ln>
          <a:effectLst/>
        </c:spPr>
      </c:pivotFmt>
      <c:pivotFmt>
        <c:idx val="4"/>
        <c:spPr>
          <a:solidFill>
            <a:srgbClr val="002060">
              <a:alpha val="85000"/>
            </a:srgbClr>
          </a:solidFill>
          <a:ln w="28575">
            <a:solidFill>
              <a:srgbClr val="002060"/>
            </a:solidFill>
          </a:ln>
          <a:effectLst/>
        </c:spPr>
      </c:pivotFmt>
      <c:pivotFmt>
        <c:idx val="5"/>
        <c:spPr>
          <a:solidFill>
            <a:srgbClr val="002060">
              <a:alpha val="85000"/>
            </a:srgbClr>
          </a:solidFill>
          <a:ln w="28575">
            <a:solidFill>
              <a:srgbClr val="002060"/>
            </a:solidFill>
          </a:ln>
          <a:effectLst/>
        </c:spPr>
      </c:pivotFmt>
    </c:pivotFmts>
    <c:plotArea>
      <c:layout>
        <c:manualLayout>
          <c:layoutTarget val="inner"/>
          <c:xMode val="edge"/>
          <c:yMode val="edge"/>
          <c:x val="0.26087635580893948"/>
          <c:y val="0.30577473767639002"/>
          <c:w val="0.73886951863165706"/>
          <c:h val="0.56338151932321368"/>
        </c:manualLayout>
      </c:layout>
      <c:barChart>
        <c:barDir val="col"/>
        <c:grouping val="clustered"/>
        <c:varyColors val="0"/>
        <c:ser>
          <c:idx val="0"/>
          <c:order val="0"/>
          <c:tx>
            <c:strRef>
              <c:f>'Day 20 -REGION-WISE PROFIT'!$B$3</c:f>
              <c:strCache>
                <c:ptCount val="1"/>
                <c:pt idx="0">
                  <c:v>Total</c:v>
                </c:pt>
              </c:strCache>
            </c:strRef>
          </c:tx>
          <c:spPr>
            <a:solidFill>
              <a:srgbClr val="002060">
                <a:alpha val="85000"/>
              </a:srgbClr>
            </a:solidFill>
            <a:ln w="28575">
              <a:solidFill>
                <a:srgbClr val="002060"/>
              </a:solidFill>
            </a:ln>
            <a:effectLst/>
          </c:spPr>
          <c:invertIfNegative val="0"/>
          <c:dLbls>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'Day 20 -REGION-WISE PROFIT'!$A$4:$A$8</c:f>
              <c:strCache>
                <c:ptCount val="4"/>
                <c:pt idx="0">
                  <c:v>South</c:v>
                </c:pt>
                <c:pt idx="1">
                  <c:v>North</c:v>
                </c:pt>
                <c:pt idx="2">
                  <c:v>East</c:v>
                </c:pt>
                <c:pt idx="3">
                  <c:v>West</c:v>
                </c:pt>
              </c:strCache>
            </c:strRef>
          </c:cat>
          <c:val>
            <c:numRef>
              <c:f>'Day 20 -REGION-WISE PROFIT'!$B$4:$B$8</c:f>
              <c:numCache>
                <c:formatCode>General</c:formatCode>
                <c:ptCount val="4"/>
                <c:pt idx="0">
                  <c:v>344000</c:v>
                </c:pt>
                <c:pt idx="1">
                  <c:v>322700</c:v>
                </c:pt>
                <c:pt idx="2">
                  <c:v>211700</c:v>
                </c:pt>
                <c:pt idx="3">
                  <c:v>185400</c:v>
                </c:pt>
              </c:numCache>
            </c:numRef>
          </c:val>
          <c:extLst>
            <c:ext xmlns:c16="http://schemas.microsoft.com/office/drawing/2014/chart" uri="{C3380CC4-5D6E-409C-BE32-E72D297353CC}">
              <c16:uniqueId val="{00000000-AB2B-480D-93FA-50DF3E7C40A4}"/>
            </c:ext>
          </c:extLst>
        </c:ser>
        <c:dLbls>
          <c:showLegendKey val="0"/>
          <c:showVal val="0"/>
          <c:showCatName val="0"/>
          <c:showSerName val="0"/>
          <c:showPercent val="0"/>
          <c:showBubbleSize val="0"/>
        </c:dLbls>
        <c:gapWidth val="219"/>
        <c:overlap val="-27"/>
        <c:axId val="853712432"/>
        <c:axId val="853712912"/>
      </c:barChart>
      <c:catAx>
        <c:axId val="8537124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3712912"/>
        <c:crosses val="autoZero"/>
        <c:auto val="1"/>
        <c:lblAlgn val="ctr"/>
        <c:lblOffset val="100"/>
        <c:noMultiLvlLbl val="0"/>
      </c:catAx>
      <c:valAx>
        <c:axId val="8537129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3712432"/>
        <c:crosses val="autoZero"/>
        <c:crossBetween val="between"/>
      </c:valAx>
      <c:spPr>
        <a:noFill/>
        <a:ln w="25400">
          <a:noFill/>
        </a:ln>
        <a:effectLst/>
      </c:spPr>
    </c:plotArea>
    <c:legend>
      <c:legendPos val="r"/>
      <c:layout>
        <c:manualLayout>
          <c:xMode val="edge"/>
          <c:yMode val="edge"/>
          <c:x val="0.8931336531676124"/>
          <c:y val="0.17431176817825392"/>
          <c:w val="7.6390158968115365E-2"/>
          <c:h val="7.8885296164791494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Dashboard.xlsx]Day 20 - PROFIT MARGIN BY CATEG!PivotTable3</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lumMod val="95000"/>
                    <a:lumOff val="5000"/>
                  </a:schemeClr>
                </a:solidFill>
              </a:rPr>
              <a:t>Category</a:t>
            </a:r>
            <a:r>
              <a:rPr lang="en-US" b="1" baseline="0">
                <a:solidFill>
                  <a:schemeClr val="tx1">
                    <a:lumMod val="95000"/>
                    <a:lumOff val="5000"/>
                  </a:schemeClr>
                </a:solidFill>
              </a:rPr>
              <a:t> Profit %</a:t>
            </a:r>
            <a:endParaRPr lang="en-US" b="1">
              <a:solidFill>
                <a:schemeClr val="tx1">
                  <a:lumMod val="95000"/>
                  <a:lumOff val="5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manualLayout>
          <c:layoutTarget val="inner"/>
          <c:xMode val="edge"/>
          <c:yMode val="edge"/>
          <c:x val="0.21773187496748564"/>
          <c:y val="0.24791562615709462"/>
          <c:w val="0.41507423399656229"/>
          <c:h val="0.52590852245355146"/>
        </c:manualLayout>
      </c:layout>
      <c:pieChart>
        <c:varyColors val="1"/>
        <c:ser>
          <c:idx val="0"/>
          <c:order val="0"/>
          <c:tx>
            <c:strRef>
              <c:f>'Day 20 - PROFIT MARGIN BY CATEG'!$B$3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12B-4331-84B1-3337E76DA5F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12B-4331-84B1-3337E76DA5F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'Day 20 - PROFIT MARGIN BY CATEG'!$A$4:$A$6</c:f>
              <c:strCache>
                <c:ptCount val="2"/>
                <c:pt idx="0">
                  <c:v>Electronics</c:v>
                </c:pt>
                <c:pt idx="1">
                  <c:v>Furniture</c:v>
                </c:pt>
              </c:strCache>
            </c:strRef>
          </c:cat>
          <c:val>
            <c:numRef>
              <c:f>'Day 20 - PROFIT MARGIN BY CATEG'!$B$4:$B$6</c:f>
              <c:numCache>
                <c:formatCode>0.00%</c:formatCode>
                <c:ptCount val="2"/>
                <c:pt idx="0">
                  <c:v>0.15468383145355838</c:v>
                </c:pt>
                <c:pt idx="1">
                  <c:v>0.14404106778399678</c:v>
                </c:pt>
              </c:numCache>
            </c:numRef>
          </c:val>
          <c:extLst>
            <c:ext xmlns:c16="http://schemas.microsoft.com/office/drawing/2014/chart" uri="{C3380CC4-5D6E-409C-BE32-E72D297353CC}">
              <c16:uniqueId val="{00000004-A12B-4331-84B1-3337E76DA5FA}"/>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Dashboard.xlsx]Day 20- TOP 5 CITIES BY PROFIT!PivotTable4</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lumMod val="95000"/>
                    <a:lumOff val="5000"/>
                  </a:schemeClr>
                </a:solidFill>
              </a:rPr>
              <a:t>Top</a:t>
            </a:r>
            <a:r>
              <a:rPr lang="en-US" b="1" baseline="0">
                <a:solidFill>
                  <a:schemeClr val="tx1">
                    <a:lumMod val="95000"/>
                    <a:lumOff val="5000"/>
                  </a:schemeClr>
                </a:solidFill>
              </a:rPr>
              <a:t> 5 Cities by Profit </a:t>
            </a:r>
            <a:endParaRPr lang="en-US" b="1">
              <a:solidFill>
                <a:schemeClr val="tx1">
                  <a:lumMod val="95000"/>
                  <a:lumOff val="5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2060"/>
          </a:solidFill>
          <a:ln>
            <a:noFill/>
          </a:ln>
          <a:effectLst/>
        </c:spPr>
        <c:marker>
          <c:symbol val="none"/>
        </c:marker>
        <c:dLbl>
          <c:idx val="0"/>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02060"/>
          </a:solidFill>
          <a:ln>
            <a:noFill/>
          </a:ln>
          <a:effectLst/>
        </c:spPr>
      </c:pivotFmt>
      <c:pivotFmt>
        <c:idx val="4"/>
        <c:spPr>
          <a:solidFill>
            <a:srgbClr val="002060"/>
          </a:solidFill>
          <a:ln>
            <a:noFill/>
          </a:ln>
          <a:effectLst/>
        </c:spPr>
      </c:pivotFmt>
      <c:pivotFmt>
        <c:idx val="5"/>
        <c:spPr>
          <a:solidFill>
            <a:schemeClr val="accent5">
              <a:lumMod val="75000"/>
            </a:schemeClr>
          </a:solidFill>
          <a:ln>
            <a:noFill/>
          </a:ln>
          <a:effectLst/>
        </c:spPr>
      </c:pivotFmt>
      <c:pivotFmt>
        <c:idx val="6"/>
        <c:spPr>
          <a:solidFill>
            <a:schemeClr val="accent5">
              <a:lumMod val="75000"/>
            </a:schemeClr>
          </a:solidFill>
          <a:ln>
            <a:noFill/>
          </a:ln>
          <a:effectLst/>
        </c:spPr>
      </c:pivotFmt>
    </c:pivotFmts>
    <c:plotArea>
      <c:layout/>
      <c:barChart>
        <c:barDir val="bar"/>
        <c:grouping val="clustered"/>
        <c:varyColors val="0"/>
        <c:ser>
          <c:idx val="0"/>
          <c:order val="0"/>
          <c:tx>
            <c:strRef>
              <c:f>'Day 20- TOP 5 CITIES BY PROFIT'!$B$3</c:f>
              <c:strCache>
                <c:ptCount val="1"/>
                <c:pt idx="0">
                  <c:v>Total</c:v>
                </c:pt>
              </c:strCache>
            </c:strRef>
          </c:tx>
          <c:spPr>
            <a:solidFill>
              <a:srgbClr val="002060"/>
            </a:solidFill>
            <a:ln>
              <a:noFill/>
            </a:ln>
            <a:effectLst/>
          </c:spPr>
          <c:invertIfNegative val="0"/>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2-A750-4237-BFDE-BB950889D030}"/>
              </c:ext>
            </c:extLst>
          </c:dPt>
          <c:dPt>
            <c:idx val="4"/>
            <c:invertIfNegative val="0"/>
            <c:bubble3D val="0"/>
            <c:spPr>
              <a:solidFill>
                <a:schemeClr val="accent5">
                  <a:lumMod val="75000"/>
                </a:schemeClr>
              </a:solidFill>
              <a:ln>
                <a:noFill/>
              </a:ln>
              <a:effectLst/>
            </c:spPr>
            <c:extLst>
              <c:ext xmlns:c16="http://schemas.microsoft.com/office/drawing/2014/chart" uri="{C3380CC4-5D6E-409C-BE32-E72D297353CC}">
                <c16:uniqueId val="{00000003-A750-4237-BFDE-BB950889D030}"/>
              </c:ext>
            </c:extLst>
          </c:dPt>
          <c:dLbls>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'Day 20- TOP 5 CITIES BY PROFIT'!$A$4:$A$9</c:f>
              <c:strCache>
                <c:ptCount val="5"/>
                <c:pt idx="0">
                  <c:v>Coimbatore</c:v>
                </c:pt>
                <c:pt idx="1">
                  <c:v>Noida</c:v>
                </c:pt>
                <c:pt idx="2">
                  <c:v>Chennai</c:v>
                </c:pt>
                <c:pt idx="3">
                  <c:v>Bangalore</c:v>
                </c:pt>
                <c:pt idx="4">
                  <c:v>Delhi</c:v>
                </c:pt>
              </c:strCache>
            </c:strRef>
          </c:cat>
          <c:val>
            <c:numRef>
              <c:f>'Day 20- TOP 5 CITIES BY PROFIT'!$B$4:$B$9</c:f>
              <c:numCache>
                <c:formatCode>General</c:formatCode>
                <c:ptCount val="5"/>
                <c:pt idx="0">
                  <c:v>42000</c:v>
                </c:pt>
                <c:pt idx="1">
                  <c:v>42000</c:v>
                </c:pt>
                <c:pt idx="2">
                  <c:v>46000</c:v>
                </c:pt>
                <c:pt idx="3">
                  <c:v>54000</c:v>
                </c:pt>
                <c:pt idx="4">
                  <c:v>72500</c:v>
                </c:pt>
              </c:numCache>
            </c:numRef>
          </c:val>
          <c:extLst>
            <c:ext xmlns:c16="http://schemas.microsoft.com/office/drawing/2014/chart" uri="{C3380CC4-5D6E-409C-BE32-E72D297353CC}">
              <c16:uniqueId val="{00000000-E9AF-4AA4-8AC9-2FF601168A14}"/>
            </c:ext>
          </c:extLst>
        </c:ser>
        <c:dLbls>
          <c:showLegendKey val="0"/>
          <c:showVal val="0"/>
          <c:showCatName val="0"/>
          <c:showSerName val="0"/>
          <c:showPercent val="0"/>
          <c:showBubbleSize val="0"/>
        </c:dLbls>
        <c:gapWidth val="182"/>
        <c:axId val="1894940080"/>
        <c:axId val="1894938160"/>
      </c:barChart>
      <c:catAx>
        <c:axId val="18949400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4938160"/>
        <c:crosses val="autoZero"/>
        <c:auto val="1"/>
        <c:lblAlgn val="ctr"/>
        <c:lblOffset val="100"/>
        <c:noMultiLvlLbl val="0"/>
      </c:catAx>
      <c:valAx>
        <c:axId val="189493816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49400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Dashboard.xlsx]Day 20-  MONTH-WISE SALES TREND!PivotTable1</c:name>
    <c:fmtId val="2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'Day 20-  MONTH-WISE SALES TREND'!$B$3</c:f>
              <c:strCache>
                <c:ptCount val="1"/>
                <c:pt idx="0">
                  <c:v>Total</c:v>
                </c:pt>
              </c:strCache>
            </c:strRef>
          </c:tx>
          <c:spPr>
            <a:solidFill>
              <a:schemeClr val="accent1"/>
            </a:solidFill>
            <a:ln>
              <a:noFill/>
            </a:ln>
            <a:effectLst/>
          </c:spPr>
          <c:invertIfNegative val="0"/>
          <c:cat>
            <c:multiLvlStrRef>
              <c:f>'Day 20-  MONTH-WISE SALES TREND'!$A$4:$A$30</c:f>
              <c:multiLvlStrCache>
                <c:ptCount val="2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lvl>
                <c:lvl>
                  <c:pt idx="0">
                    <c:v>2024</c:v>
                  </c:pt>
                  <c:pt idx="12">
                    <c:v>2025</c:v>
                  </c:pt>
                </c:lvl>
              </c:multiLvlStrCache>
            </c:multiLvlStrRef>
          </c:cat>
          <c:val>
            <c:numRef>
              <c:f>'Day 20-  MONTH-WISE SALES TREND'!$B$4:$B$30</c:f>
              <c:numCache>
                <c:formatCode>General</c:formatCode>
                <c:ptCount val="24"/>
                <c:pt idx="0">
                  <c:v>995500</c:v>
                </c:pt>
                <c:pt idx="1">
                  <c:v>1012000</c:v>
                </c:pt>
                <c:pt idx="2">
                  <c:v>370000</c:v>
                </c:pt>
                <c:pt idx="3">
                  <c:v>236000</c:v>
                </c:pt>
                <c:pt idx="4">
                  <c:v>199500</c:v>
                </c:pt>
                <c:pt idx="5">
                  <c:v>151500</c:v>
                </c:pt>
                <c:pt idx="6">
                  <c:v>339500</c:v>
                </c:pt>
                <c:pt idx="7">
                  <c:v>211500</c:v>
                </c:pt>
                <c:pt idx="8">
                  <c:v>191500</c:v>
                </c:pt>
                <c:pt idx="9">
                  <c:v>148000</c:v>
                </c:pt>
                <c:pt idx="10">
                  <c:v>190000</c:v>
                </c:pt>
                <c:pt idx="11">
                  <c:v>371000</c:v>
                </c:pt>
                <c:pt idx="12">
                  <c:v>254000</c:v>
                </c:pt>
                <c:pt idx="13">
                  <c:v>239000</c:v>
                </c:pt>
                <c:pt idx="14">
                  <c:v>208000</c:v>
                </c:pt>
                <c:pt idx="15">
                  <c:v>187000</c:v>
                </c:pt>
                <c:pt idx="16">
                  <c:v>165500</c:v>
                </c:pt>
                <c:pt idx="17">
                  <c:v>197000</c:v>
                </c:pt>
                <c:pt idx="18">
                  <c:v>335000</c:v>
                </c:pt>
                <c:pt idx="19">
                  <c:v>216000</c:v>
                </c:pt>
                <c:pt idx="20">
                  <c:v>220000</c:v>
                </c:pt>
                <c:pt idx="21">
                  <c:v>134000</c:v>
                </c:pt>
                <c:pt idx="22">
                  <c:v>190000</c:v>
                </c:pt>
                <c:pt idx="23">
                  <c:v>371000</c:v>
                </c:pt>
              </c:numCache>
            </c:numRef>
          </c:val>
          <c:extLst>
            <c:ext xmlns:c16="http://schemas.microsoft.com/office/drawing/2014/chart" uri="{C3380CC4-5D6E-409C-BE32-E72D297353CC}">
              <c16:uniqueId val="{00000000-105F-40FA-A076-0D69B65C7380}"/>
            </c:ext>
          </c:extLst>
        </c:ser>
        <c:dLbls>
          <c:showLegendKey val="0"/>
          <c:showVal val="0"/>
          <c:showCatName val="0"/>
          <c:showSerName val="0"/>
          <c:showPercent val="0"/>
          <c:showBubbleSize val="0"/>
        </c:dLbls>
        <c:gapWidth val="219"/>
        <c:overlap val="-27"/>
        <c:axId val="1335410976"/>
        <c:axId val="1335398976"/>
      </c:barChart>
      <c:catAx>
        <c:axId val="1335410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5398976"/>
        <c:crosses val="autoZero"/>
        <c:auto val="1"/>
        <c:lblAlgn val="ctr"/>
        <c:lblOffset val="100"/>
        <c:noMultiLvlLbl val="0"/>
      </c:catAx>
      <c:valAx>
        <c:axId val="13353989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54109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Dashboard.xlsx]Day 20 -REGION-WISE PROFIT!PivotTable2</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Region</a:t>
            </a:r>
            <a:r>
              <a:rPr lang="en-US" baseline="0"/>
              <a:t> Profit</a:t>
            </a:r>
            <a:endParaRPr lang="en-US"/>
          </a:p>
        </c:rich>
      </c:tx>
      <c:layout>
        <c:manualLayout>
          <c:xMode val="edge"/>
          <c:yMode val="edge"/>
          <c:x val="0.42717873228895908"/>
          <c:y val="0.1345045268173398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087635580893948"/>
          <c:y val="0.30577473767639002"/>
          <c:w val="0.73886951863165706"/>
          <c:h val="0.56338151932321368"/>
        </c:manualLayout>
      </c:layout>
      <c:barChart>
        <c:barDir val="col"/>
        <c:grouping val="clustered"/>
        <c:varyColors val="0"/>
        <c:ser>
          <c:idx val="0"/>
          <c:order val="0"/>
          <c:tx>
            <c:strRef>
              <c:f>'Day 20 -REGION-WISE PROFIT'!$B$3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'Day 20 -REGION-WISE PROFIT'!$A$4:$A$8</c:f>
              <c:strCache>
                <c:ptCount val="4"/>
                <c:pt idx="0">
                  <c:v>South</c:v>
                </c:pt>
                <c:pt idx="1">
                  <c:v>North</c:v>
                </c:pt>
                <c:pt idx="2">
                  <c:v>East</c:v>
                </c:pt>
                <c:pt idx="3">
                  <c:v>West</c:v>
                </c:pt>
              </c:strCache>
            </c:strRef>
          </c:cat>
          <c:val>
            <c:numRef>
              <c:f>'Day 20 -REGION-WISE PROFIT'!$B$4:$B$8</c:f>
              <c:numCache>
                <c:formatCode>General</c:formatCode>
                <c:ptCount val="4"/>
                <c:pt idx="0">
                  <c:v>344000</c:v>
                </c:pt>
                <c:pt idx="1">
                  <c:v>322700</c:v>
                </c:pt>
                <c:pt idx="2">
                  <c:v>211700</c:v>
                </c:pt>
                <c:pt idx="3">
                  <c:v>185400</c:v>
                </c:pt>
              </c:numCache>
            </c:numRef>
          </c:val>
          <c:extLst>
            <c:ext xmlns:c16="http://schemas.microsoft.com/office/drawing/2014/chart" uri="{C3380CC4-5D6E-409C-BE32-E72D297353CC}">
              <c16:uniqueId val="{00000000-972E-4753-9A5F-7C31353A5D10}"/>
            </c:ext>
          </c:extLst>
        </c:ser>
        <c:dLbls>
          <c:showLegendKey val="0"/>
          <c:showVal val="0"/>
          <c:showCatName val="0"/>
          <c:showSerName val="0"/>
          <c:showPercent val="0"/>
          <c:showBubbleSize val="0"/>
        </c:dLbls>
        <c:gapWidth val="219"/>
        <c:overlap val="-27"/>
        <c:axId val="853712432"/>
        <c:axId val="853712912"/>
      </c:barChart>
      <c:catAx>
        <c:axId val="8537124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3712912"/>
        <c:crosses val="autoZero"/>
        <c:auto val="1"/>
        <c:lblAlgn val="ctr"/>
        <c:lblOffset val="100"/>
        <c:noMultiLvlLbl val="0"/>
      </c:catAx>
      <c:valAx>
        <c:axId val="8537129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3712432"/>
        <c:crosses val="autoZero"/>
        <c:crossBetween val="between"/>
      </c:valAx>
      <c:spPr>
        <a:noFill/>
        <a:ln w="25400">
          <a:noFill/>
        </a:ln>
        <a:effectLst/>
      </c:spPr>
    </c:plotArea>
    <c:legend>
      <c:legendPos val="r"/>
      <c:layout>
        <c:manualLayout>
          <c:xMode val="edge"/>
          <c:yMode val="edge"/>
          <c:x val="0.8962706181886485"/>
          <c:y val="0.41848302716243524"/>
          <c:w val="9.5559941180027461E-2"/>
          <c:h val="8.568587091708868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Dashboard.xlsx]Day 20 - PROFIT MARGIN BY CATEG!PivotTable3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Category</a:t>
            </a:r>
            <a:r>
              <a:rPr lang="en-US" baseline="0"/>
              <a:t> Profit %</a:t>
            </a:r>
            <a:endParaRPr lang="en-US"/>
          </a:p>
        </c:rich>
      </c:tx>
      <c:layout>
        <c:manualLayout>
          <c:xMode val="edge"/>
          <c:yMode val="edge"/>
          <c:x val="0.50363636363636366"/>
          <c:y val="9.675181637843954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pieChart>
        <c:varyColors val="1"/>
        <c:ser>
          <c:idx val="0"/>
          <c:order val="0"/>
          <c:tx>
            <c:strRef>
              <c:f>'Day 20 - PROFIT MARGIN BY CATEG'!$B$3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BC1-41B6-B342-5C8EF3E11CD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BC1-41B6-B342-5C8EF3E11CD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'Day 20 - PROFIT MARGIN BY CATEG'!$A$4:$A$6</c:f>
              <c:strCache>
                <c:ptCount val="2"/>
                <c:pt idx="0">
                  <c:v>Electronics</c:v>
                </c:pt>
                <c:pt idx="1">
                  <c:v>Furniture</c:v>
                </c:pt>
              </c:strCache>
            </c:strRef>
          </c:cat>
          <c:val>
            <c:numRef>
              <c:f>'Day 20 - PROFIT MARGIN BY CATEG'!$B$4:$B$6</c:f>
              <c:numCache>
                <c:formatCode>0.00%</c:formatCode>
                <c:ptCount val="2"/>
                <c:pt idx="0">
                  <c:v>0.15468383145355838</c:v>
                </c:pt>
                <c:pt idx="1">
                  <c:v>0.14404106778399678</c:v>
                </c:pt>
              </c:numCache>
            </c:numRef>
          </c:val>
          <c:extLst>
            <c:ext xmlns:c16="http://schemas.microsoft.com/office/drawing/2014/chart" uri="{C3380CC4-5D6E-409C-BE32-E72D297353CC}">
              <c16:uniqueId val="{00000000-599B-4716-8E51-122C5538DBCA}"/>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Dashboard.xlsx]Day 20- TOP 5 CITIES BY PROFIT!PivotTable4</c:name>
    <c:fmtId val="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'Day 20- TOP 5 CITIES BY PROFIT'!$B$3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'Day 20- TOP 5 CITIES BY PROFIT'!$A$4:$A$9</c:f>
              <c:strCache>
                <c:ptCount val="5"/>
                <c:pt idx="0">
                  <c:v>Coimbatore</c:v>
                </c:pt>
                <c:pt idx="1">
                  <c:v>Noida</c:v>
                </c:pt>
                <c:pt idx="2">
                  <c:v>Chennai</c:v>
                </c:pt>
                <c:pt idx="3">
                  <c:v>Bangalore</c:v>
                </c:pt>
                <c:pt idx="4">
                  <c:v>Delhi</c:v>
                </c:pt>
              </c:strCache>
            </c:strRef>
          </c:cat>
          <c:val>
            <c:numRef>
              <c:f>'Day 20- TOP 5 CITIES BY PROFIT'!$B$4:$B$9</c:f>
              <c:numCache>
                <c:formatCode>General</c:formatCode>
                <c:ptCount val="5"/>
                <c:pt idx="0">
                  <c:v>42000</c:v>
                </c:pt>
                <c:pt idx="1">
                  <c:v>42000</c:v>
                </c:pt>
                <c:pt idx="2">
                  <c:v>46000</c:v>
                </c:pt>
                <c:pt idx="3">
                  <c:v>54000</c:v>
                </c:pt>
                <c:pt idx="4">
                  <c:v>72500</c:v>
                </c:pt>
              </c:numCache>
            </c:numRef>
          </c:val>
          <c:extLst>
            <c:ext xmlns:c16="http://schemas.microsoft.com/office/drawing/2014/chart" uri="{C3380CC4-5D6E-409C-BE32-E72D297353CC}">
              <c16:uniqueId val="{00000000-2916-48C1-93AB-883EAE473256}"/>
            </c:ext>
          </c:extLst>
        </c:ser>
        <c:dLbls>
          <c:showLegendKey val="0"/>
          <c:showVal val="0"/>
          <c:showCatName val="0"/>
          <c:showSerName val="0"/>
          <c:showPercent val="0"/>
          <c:showBubbleSize val="0"/>
        </c:dLbls>
        <c:gapWidth val="182"/>
        <c:axId val="1894940080"/>
        <c:axId val="1894938160"/>
      </c:barChart>
      <c:catAx>
        <c:axId val="18949400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4938160"/>
        <c:crosses val="autoZero"/>
        <c:auto val="1"/>
        <c:lblAlgn val="ctr"/>
        <c:lblOffset val="100"/>
        <c:noMultiLvlLbl val="0"/>
      </c:catAx>
      <c:valAx>
        <c:axId val="189493816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49400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5.xml"/></Relationships>
</file>

<file path=xl/drawings/_rels/drawing3.xml.rels><?xml version="1.0" encoding="UTF-8" standalone="yes"?>
<Relationships xmlns="http://schemas.openxmlformats.org/package/2006/relationships"><Relationship Id="rId1" Type="http://schemas.openxmlformats.org/officeDocument/2006/relationships/chart" Target="../charts/chart6.xml"/></Relationships>
</file>

<file path=xl/drawings/_rels/drawing4.xml.rels><?xml version="1.0" encoding="UTF-8" standalone="yes"?>
<Relationships xmlns="http://schemas.openxmlformats.org/package/2006/relationships"><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2</xdr:col>
      <xdr:colOff>365495</xdr:colOff>
      <xdr:row>7</xdr:row>
      <xdr:rowOff>28417</xdr:rowOff>
    </xdr:from>
    <xdr:to>
      <xdr:col>11</xdr:col>
      <xdr:colOff>1394113</xdr:colOff>
      <xdr:row>21</xdr:row>
      <xdr:rowOff>153751</xdr:rowOff>
    </xdr:to>
    <xdr:graphicFrame macro="">
      <xdr:nvGraphicFramePr>
        <xdr:cNvPr id="2" name="Chart 1">
          <a:extLst>
            <a:ext uri="{FF2B5EF4-FFF2-40B4-BE49-F238E27FC236}">
              <a16:creationId xmlns:a16="http://schemas.microsoft.com/office/drawing/2014/main" id="{2664EF89-ED41-453B-A01F-B39F5F6F3DA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378835</xdr:colOff>
      <xdr:row>22</xdr:row>
      <xdr:rowOff>35992</xdr:rowOff>
    </xdr:from>
    <xdr:to>
      <xdr:col>7</xdr:col>
      <xdr:colOff>800966</xdr:colOff>
      <xdr:row>37</xdr:row>
      <xdr:rowOff>145904</xdr:rowOff>
    </xdr:to>
    <xdr:graphicFrame macro="">
      <xdr:nvGraphicFramePr>
        <xdr:cNvPr id="3" name="Chart 2">
          <a:extLst>
            <a:ext uri="{FF2B5EF4-FFF2-40B4-BE49-F238E27FC236}">
              <a16:creationId xmlns:a16="http://schemas.microsoft.com/office/drawing/2014/main" id="{1E284E4D-B564-4D1A-B7FC-B7A99E926AD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926522</xdr:colOff>
      <xdr:row>22</xdr:row>
      <xdr:rowOff>51954</xdr:rowOff>
    </xdr:from>
    <xdr:to>
      <xdr:col>11</xdr:col>
      <xdr:colOff>1376794</xdr:colOff>
      <xdr:row>37</xdr:row>
      <xdr:rowOff>155865</xdr:rowOff>
    </xdr:to>
    <xdr:graphicFrame macro="">
      <xdr:nvGraphicFramePr>
        <xdr:cNvPr id="4" name="Chart 3">
          <a:extLst>
            <a:ext uri="{FF2B5EF4-FFF2-40B4-BE49-F238E27FC236}">
              <a16:creationId xmlns:a16="http://schemas.microsoft.com/office/drawing/2014/main" id="{4009BA6F-D51C-4F4C-AB93-C4AAF21518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164523</xdr:colOff>
      <xdr:row>22</xdr:row>
      <xdr:rowOff>17178</xdr:rowOff>
    </xdr:from>
    <xdr:to>
      <xdr:col>2</xdr:col>
      <xdr:colOff>0</xdr:colOff>
      <xdr:row>27</xdr:row>
      <xdr:rowOff>108860</xdr:rowOff>
    </xdr:to>
    <mc:AlternateContent xmlns:mc="http://schemas.openxmlformats.org/markup-compatibility/2006" xmlns:a14="http://schemas.microsoft.com/office/drawing/2010/main">
      <mc:Choice Requires="a14">
        <xdr:graphicFrame macro="">
          <xdr:nvGraphicFramePr>
            <xdr:cNvPr id="5" name="Year 1">
              <a:extLst>
                <a:ext uri="{FF2B5EF4-FFF2-40B4-BE49-F238E27FC236}">
                  <a16:creationId xmlns:a16="http://schemas.microsoft.com/office/drawing/2014/main" id="{FD111729-D7C1-43A5-9F95-98A7F5307904}"/>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235797" y="4673845"/>
              <a:ext cx="1654388" cy="104418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173182</xdr:colOff>
      <xdr:row>7</xdr:row>
      <xdr:rowOff>116935</xdr:rowOff>
    </xdr:from>
    <xdr:to>
      <xdr:col>1</xdr:col>
      <xdr:colOff>1615786</xdr:colOff>
      <xdr:row>13</xdr:row>
      <xdr:rowOff>70043</xdr:rowOff>
    </xdr:to>
    <mc:AlternateContent xmlns:mc="http://schemas.openxmlformats.org/markup-compatibility/2006" xmlns:a14="http://schemas.microsoft.com/office/drawing/2010/main">
      <mc:Choice Requires="a14">
        <xdr:graphicFrame macro="">
          <xdr:nvGraphicFramePr>
            <xdr:cNvPr id="6" name="Region 1">
              <a:extLst>
                <a:ext uri="{FF2B5EF4-FFF2-40B4-BE49-F238E27FC236}">
                  <a16:creationId xmlns:a16="http://schemas.microsoft.com/office/drawing/2014/main" id="{396F466F-B606-4276-B1CF-05955DF5FE29}"/>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73182" y="1892049"/>
              <a:ext cx="1641763" cy="119135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0</xdr:colOff>
      <xdr:row>14</xdr:row>
      <xdr:rowOff>171390</xdr:rowOff>
    </xdr:from>
    <xdr:to>
      <xdr:col>1</xdr:col>
      <xdr:colOff>1636568</xdr:colOff>
      <xdr:row>20</xdr:row>
      <xdr:rowOff>37495</xdr:rowOff>
    </xdr:to>
    <mc:AlternateContent xmlns:mc="http://schemas.openxmlformats.org/markup-compatibility/2006" xmlns:a14="http://schemas.microsoft.com/office/drawing/2010/main">
      <mc:Choice Requires="a14">
        <xdr:graphicFrame macro="">
          <xdr:nvGraphicFramePr>
            <xdr:cNvPr id="7" name="Category 1">
              <a:extLst>
                <a:ext uri="{FF2B5EF4-FFF2-40B4-BE49-F238E27FC236}">
                  <a16:creationId xmlns:a16="http://schemas.microsoft.com/office/drawing/2014/main" id="{6D8DE576-F73D-4C77-96EA-5A61FF8132F0}"/>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179917" y="3304057"/>
              <a:ext cx="1683808" cy="100910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389659</xdr:colOff>
      <xdr:row>38</xdr:row>
      <xdr:rowOff>121227</xdr:rowOff>
    </xdr:from>
    <xdr:to>
      <xdr:col>11</xdr:col>
      <xdr:colOff>1394113</xdr:colOff>
      <xdr:row>53</xdr:row>
      <xdr:rowOff>136813</xdr:rowOff>
    </xdr:to>
    <xdr:graphicFrame macro="">
      <xdr:nvGraphicFramePr>
        <xdr:cNvPr id="9" name="Chart 8">
          <a:extLst>
            <a:ext uri="{FF2B5EF4-FFF2-40B4-BE49-F238E27FC236}">
              <a16:creationId xmlns:a16="http://schemas.microsoft.com/office/drawing/2014/main" id="{754709E4-CCA0-4DDE-BA38-9494B8ECFB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7</xdr:col>
      <xdr:colOff>106680</xdr:colOff>
      <xdr:row>4</xdr:row>
      <xdr:rowOff>171450</xdr:rowOff>
    </xdr:from>
    <xdr:to>
      <xdr:col>14</xdr:col>
      <xdr:colOff>411480</xdr:colOff>
      <xdr:row>19</xdr:row>
      <xdr:rowOff>171450</xdr:rowOff>
    </xdr:to>
    <xdr:graphicFrame macro="">
      <xdr:nvGraphicFramePr>
        <xdr:cNvPr id="2" name="Chart 1">
          <a:extLst>
            <a:ext uri="{FF2B5EF4-FFF2-40B4-BE49-F238E27FC236}">
              <a16:creationId xmlns:a16="http://schemas.microsoft.com/office/drawing/2014/main" id="{2A1EFDA3-4B9F-CC0E-5BBC-662CD6A2956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148167</xdr:colOff>
      <xdr:row>3</xdr:row>
      <xdr:rowOff>130527</xdr:rowOff>
    </xdr:from>
    <xdr:to>
      <xdr:col>11</xdr:col>
      <xdr:colOff>564444</xdr:colOff>
      <xdr:row>17</xdr:row>
      <xdr:rowOff>174625</xdr:rowOff>
    </xdr:to>
    <xdr:graphicFrame macro="">
      <xdr:nvGraphicFramePr>
        <xdr:cNvPr id="8" name="Chart 7">
          <a:extLst>
            <a:ext uri="{FF2B5EF4-FFF2-40B4-BE49-F238E27FC236}">
              <a16:creationId xmlns:a16="http://schemas.microsoft.com/office/drawing/2014/main" id="{043EBEC1-CE62-6226-6351-73CCCA0DB34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38100</xdr:colOff>
      <xdr:row>5</xdr:row>
      <xdr:rowOff>133350</xdr:rowOff>
    </xdr:from>
    <xdr:to>
      <xdr:col>10</xdr:col>
      <xdr:colOff>571500</xdr:colOff>
      <xdr:row>19</xdr:row>
      <xdr:rowOff>38100</xdr:rowOff>
    </xdr:to>
    <xdr:graphicFrame macro="">
      <xdr:nvGraphicFramePr>
        <xdr:cNvPr id="2" name="Chart 1">
          <a:extLst>
            <a:ext uri="{FF2B5EF4-FFF2-40B4-BE49-F238E27FC236}">
              <a16:creationId xmlns:a16="http://schemas.microsoft.com/office/drawing/2014/main" id="{4CC1B469-92E1-FEDC-53A1-C3E6A856507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7</xdr:col>
      <xdr:colOff>106680</xdr:colOff>
      <xdr:row>7</xdr:row>
      <xdr:rowOff>156210</xdr:rowOff>
    </xdr:from>
    <xdr:to>
      <xdr:col>14</xdr:col>
      <xdr:colOff>411480</xdr:colOff>
      <xdr:row>22</xdr:row>
      <xdr:rowOff>156210</xdr:rowOff>
    </xdr:to>
    <xdr:graphicFrame macro="">
      <xdr:nvGraphicFramePr>
        <xdr:cNvPr id="4" name="Chart 3">
          <a:extLst>
            <a:ext uri="{FF2B5EF4-FFF2-40B4-BE49-F238E27FC236}">
              <a16:creationId xmlns:a16="http://schemas.microsoft.com/office/drawing/2014/main" id="{41F32370-B0EF-D865-085B-8AC1E3942EE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muvel M" refreshedDate="46038.951261574075" createdVersion="8" refreshedVersion="8" minRefreshableVersion="3" recordCount="211" xr:uid="{33AF025D-0C37-487E-8A4F-01D514C776E0}">
  <cacheSource type="worksheet">
    <worksheetSource name="Table7__2"/>
  </cacheSource>
  <cacheFields count="11">
    <cacheField name="Order Date" numFmtId="14">
      <sharedItems containsSemiMixedTypes="0" containsNonDate="0" containsDate="1" containsString="0" minDate="2024-01-01T00:00:00" maxDate="2025-12-11T00:00:00"/>
    </cacheField>
    <cacheField name="Region" numFmtId="0">
      <sharedItems count="4">
        <s v="South"/>
        <s v="North"/>
        <s v="West"/>
        <s v="East"/>
      </sharedItems>
    </cacheField>
    <cacheField name="State" numFmtId="0">
      <sharedItems/>
    </cacheField>
    <cacheField name="City" numFmtId="0">
      <sharedItems count="55">
        <s v="Chennai"/>
        <s v="Coimbatore"/>
        <s v="Bangalore"/>
        <s v="Delhi"/>
        <s v="Mumbai"/>
        <s v="Kolkata"/>
        <s v="Mysore"/>
        <s v="Gurgaon"/>
        <s v="Pune"/>
        <s v="Bhubaneswar"/>
        <s v="Salem"/>
        <s v="Madurai"/>
        <s v="Lucknow"/>
        <s v="Ahmedabad"/>
        <s v="Guwahati"/>
        <s v="Hassan"/>
        <s v="Erode"/>
        <s v="Amritsar"/>
        <s v="Jaipur"/>
        <s v="Ranchi"/>
        <s v="Trichy"/>
        <s v="Udupi"/>
        <s v="Dehradun"/>
        <s v="Indore"/>
        <s v="Patna"/>
        <s v="Vellore"/>
        <s v="Shimoga"/>
        <s v="Shimla"/>
        <s v="Raipur"/>
        <s v="Agartala"/>
        <s v="Ooty"/>
        <s v="Nagpur"/>
        <s v="Durgapur"/>
        <s v="Mangalore"/>
        <s v="Noida"/>
        <s v="Surat"/>
        <s v="Cuttack"/>
        <s v="Hubli"/>
        <s v="Faridabad"/>
        <s v="Kolhapur"/>
        <s v="Gaya"/>
        <s v="Thanjavur"/>
        <s v="Davangere"/>
        <s v="Jodhpur"/>
        <s v="Bhopal"/>
        <s v="Silchar"/>
        <s v="Nagercoil"/>
        <s v="Bijapur"/>
        <s v="Jalandhar"/>
        <s v="Udaipur"/>
        <s v="Dhanbad"/>
        <s v="Hosur"/>
        <s v="Tumkur"/>
        <s v="Haridwar"/>
        <s v="Bilaspur"/>
      </sharedItems>
    </cacheField>
    <cacheField name="Category" numFmtId="0">
      <sharedItems count="2">
        <s v="Electronics"/>
        <s v="Furniture"/>
      </sharedItems>
    </cacheField>
    <cacheField name="Product" numFmtId="0">
      <sharedItems/>
    </cacheField>
    <cacheField name="Sales" numFmtId="0">
      <sharedItems containsSemiMixedTypes="0" containsString="0" containsNumber="1" containsInteger="1" minValue="8000" maxValue="62000"/>
    </cacheField>
    <cacheField name="Profit" numFmtId="0">
      <sharedItems containsSemiMixedTypes="0" containsString="0" containsNumber="1" containsInteger="1" minValue="1500" maxValue="9200"/>
    </cacheField>
    <cacheField name="Year" numFmtId="0">
      <sharedItems containsSemiMixedTypes="0" containsString="0" containsNumber="1" containsInteger="1" minValue="2024" maxValue="2025" count="2">
        <n v="2024"/>
        <n v="2025"/>
      </sharedItems>
    </cacheField>
    <cacheField name="Month" numFmtId="0">
      <sharedItems count="12">
        <s v="Jan"/>
        <s v="Feb"/>
        <s v="Mar"/>
        <s v="Apr"/>
        <s v="May"/>
        <s v="Jun"/>
        <s v="Jul"/>
        <s v="Aug"/>
        <s v="Sep"/>
        <s v="Oct"/>
        <s v="Nov"/>
        <s v="Dec"/>
      </sharedItems>
    </cacheField>
    <cacheField name="Profit  %" numFmtId="10">
      <sharedItems containsSemiMixedTypes="0" containsString="0" containsNumber="1" minValue="0.13333333333333333" maxValue="0.18888888888888888"/>
    </cacheField>
  </cacheFields>
  <extLst>
    <ext xmlns:x14="http://schemas.microsoft.com/office/spreadsheetml/2009/9/main" uri="{725AE2AE-9491-48be-B2B4-4EB974FC3084}">
      <x14:pivotCacheDefinition pivotCacheId="62407014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11">
  <r>
    <d v="2024-01-01T00:00:00"/>
    <x v="0"/>
    <s v="TN"/>
    <x v="0"/>
    <x v="0"/>
    <s v="Mobile"/>
    <n v="30000"/>
    <n v="5000"/>
    <x v="0"/>
    <x v="0"/>
    <n v="0.16666666666666666"/>
  </r>
  <r>
    <d v="2024-01-02T00:00:00"/>
    <x v="0"/>
    <s v="TN"/>
    <x v="1"/>
    <x v="0"/>
    <s v="Mobile"/>
    <n v="28000"/>
    <n v="4500"/>
    <x v="0"/>
    <x v="0"/>
    <n v="0.16071428571428573"/>
  </r>
  <r>
    <d v="2024-01-03T00:00:00"/>
    <x v="0"/>
    <s v="KA"/>
    <x v="2"/>
    <x v="1"/>
    <s v="Chair"/>
    <n v="15000"/>
    <n v="2000"/>
    <x v="0"/>
    <x v="0"/>
    <n v="0.13333333333333333"/>
  </r>
  <r>
    <d v="2024-01-04T00:00:00"/>
    <x v="1"/>
    <s v="DL"/>
    <x v="3"/>
    <x v="0"/>
    <s v="Laptop"/>
    <n v="55000"/>
    <n v="8000"/>
    <x v="0"/>
    <x v="0"/>
    <n v="0.14545454545454545"/>
  </r>
  <r>
    <d v="2024-01-05T00:00:00"/>
    <x v="2"/>
    <s v="MH"/>
    <x v="4"/>
    <x v="1"/>
    <s v="Table"/>
    <n v="20000"/>
    <n v="3000"/>
    <x v="0"/>
    <x v="0"/>
    <n v="0.15"/>
  </r>
  <r>
    <d v="2024-01-06T00:00:00"/>
    <x v="3"/>
    <s v="WB"/>
    <x v="5"/>
    <x v="0"/>
    <s v="TV"/>
    <n v="40000"/>
    <n v="6000"/>
    <x v="0"/>
    <x v="0"/>
    <n v="0.15"/>
  </r>
  <r>
    <d v="2024-01-07T00:00:00"/>
    <x v="0"/>
    <s v="KA"/>
    <x v="6"/>
    <x v="0"/>
    <s v="Headset"/>
    <n v="8000"/>
    <n v="1500"/>
    <x v="0"/>
    <x v="0"/>
    <n v="0.1875"/>
  </r>
  <r>
    <d v="2024-01-08T00:00:00"/>
    <x v="1"/>
    <s v="HR"/>
    <x v="7"/>
    <x v="1"/>
    <s v="Sofa"/>
    <n v="60000"/>
    <n v="9000"/>
    <x v="0"/>
    <x v="0"/>
    <n v="0.15"/>
  </r>
  <r>
    <d v="2024-01-09T00:00:00"/>
    <x v="2"/>
    <s v="MH"/>
    <x v="8"/>
    <x v="0"/>
    <s v="Laptop"/>
    <n v="52000"/>
    <n v="7500"/>
    <x v="0"/>
    <x v="0"/>
    <n v="0.14423076923076922"/>
  </r>
  <r>
    <d v="2024-01-10T00:00:00"/>
    <x v="3"/>
    <s v="OR"/>
    <x v="9"/>
    <x v="1"/>
    <s v="Bed"/>
    <n v="30000"/>
    <n v="4000"/>
    <x v="0"/>
    <x v="0"/>
    <n v="0.13333333333333333"/>
  </r>
  <r>
    <d v="2024-01-11T00:00:00"/>
    <x v="0"/>
    <s v="TN"/>
    <x v="10"/>
    <x v="0"/>
    <s v="Mobile"/>
    <n v="25000"/>
    <n v="4200"/>
    <x v="0"/>
    <x v="0"/>
    <n v="0.16800000000000001"/>
  </r>
  <r>
    <d v="2024-01-12T00:00:00"/>
    <x v="0"/>
    <s v="TN"/>
    <x v="11"/>
    <x v="1"/>
    <s v="Table"/>
    <n v="18000"/>
    <n v="2600"/>
    <x v="0"/>
    <x v="0"/>
    <n v="0.14444444444444443"/>
  </r>
  <r>
    <d v="2024-01-13T00:00:00"/>
    <x v="1"/>
    <s v="UP"/>
    <x v="12"/>
    <x v="0"/>
    <s v="TV"/>
    <n v="38000"/>
    <n v="5600"/>
    <x v="0"/>
    <x v="0"/>
    <n v="0.14736842105263157"/>
  </r>
  <r>
    <d v="2024-01-14T00:00:00"/>
    <x v="2"/>
    <s v="GJ"/>
    <x v="13"/>
    <x v="1"/>
    <s v="Chair"/>
    <n v="16000"/>
    <n v="2200"/>
    <x v="0"/>
    <x v="0"/>
    <n v="0.13750000000000001"/>
  </r>
  <r>
    <d v="2024-01-15T00:00:00"/>
    <x v="3"/>
    <s v="AS"/>
    <x v="14"/>
    <x v="0"/>
    <s v="Laptop"/>
    <n v="50000"/>
    <n v="7200"/>
    <x v="0"/>
    <x v="0"/>
    <n v="0.14399999999999999"/>
  </r>
  <r>
    <d v="2024-01-16T00:00:00"/>
    <x v="0"/>
    <s v="KA"/>
    <x v="15"/>
    <x v="0"/>
    <s v="Mobile"/>
    <n v="27000"/>
    <n v="4300"/>
    <x v="0"/>
    <x v="0"/>
    <n v="0.15925925925925927"/>
  </r>
  <r>
    <d v="2024-01-17T00:00:00"/>
    <x v="0"/>
    <s v="TN"/>
    <x v="16"/>
    <x v="1"/>
    <s v="Bed"/>
    <n v="32000"/>
    <n v="4500"/>
    <x v="0"/>
    <x v="0"/>
    <n v="0.140625"/>
  </r>
  <r>
    <d v="2024-01-18T00:00:00"/>
    <x v="1"/>
    <s v="PB"/>
    <x v="17"/>
    <x v="0"/>
    <s v="TV"/>
    <n v="41000"/>
    <n v="6100"/>
    <x v="0"/>
    <x v="0"/>
    <n v="0.14878048780487804"/>
  </r>
  <r>
    <d v="2024-01-19T00:00:00"/>
    <x v="2"/>
    <s v="RJ"/>
    <x v="18"/>
    <x v="1"/>
    <s v="Sofa"/>
    <n v="58000"/>
    <n v="8500"/>
    <x v="0"/>
    <x v="0"/>
    <n v="0.14655172413793102"/>
  </r>
  <r>
    <d v="2024-01-20T00:00:00"/>
    <x v="3"/>
    <s v="JH"/>
    <x v="19"/>
    <x v="0"/>
    <s v="Mobile"/>
    <n v="26000"/>
    <n v="3900"/>
    <x v="0"/>
    <x v="0"/>
    <n v="0.15"/>
  </r>
  <r>
    <d v="2024-01-21T00:00:00"/>
    <x v="0"/>
    <s v="TN"/>
    <x v="20"/>
    <x v="0"/>
    <s v="Headset"/>
    <n v="9000"/>
    <n v="1700"/>
    <x v="0"/>
    <x v="0"/>
    <n v="0.18888888888888888"/>
  </r>
  <r>
    <d v="2024-01-22T00:00:00"/>
    <x v="0"/>
    <s v="KA"/>
    <x v="21"/>
    <x v="1"/>
    <s v="Chair"/>
    <n v="14000"/>
    <n v="2100"/>
    <x v="0"/>
    <x v="0"/>
    <n v="0.15"/>
  </r>
  <r>
    <d v="2024-01-23T00:00:00"/>
    <x v="1"/>
    <s v="UK"/>
    <x v="22"/>
    <x v="0"/>
    <s v="Laptop"/>
    <n v="54000"/>
    <n v="7900"/>
    <x v="0"/>
    <x v="0"/>
    <n v="0.14629629629629629"/>
  </r>
  <r>
    <d v="2024-01-24T00:00:00"/>
    <x v="2"/>
    <s v="MP"/>
    <x v="23"/>
    <x v="1"/>
    <s v="Table"/>
    <n v="19000"/>
    <n v="2800"/>
    <x v="0"/>
    <x v="0"/>
    <n v="0.14736842105263157"/>
  </r>
  <r>
    <d v="2024-01-25T00:00:00"/>
    <x v="3"/>
    <s v="BH"/>
    <x v="24"/>
    <x v="0"/>
    <s v="TV"/>
    <n v="36000"/>
    <n v="5400"/>
    <x v="0"/>
    <x v="0"/>
    <n v="0.15"/>
  </r>
  <r>
    <d v="2024-01-26T00:00:00"/>
    <x v="0"/>
    <s v="TN"/>
    <x v="25"/>
    <x v="0"/>
    <s v="Mobile"/>
    <n v="29000"/>
    <n v="4600"/>
    <x v="0"/>
    <x v="0"/>
    <n v="0.15862068965517243"/>
  </r>
  <r>
    <d v="2024-01-27T00:00:00"/>
    <x v="0"/>
    <s v="KA"/>
    <x v="26"/>
    <x v="1"/>
    <s v="Bed"/>
    <n v="31000"/>
    <n v="4400"/>
    <x v="0"/>
    <x v="0"/>
    <n v="0.14193548387096774"/>
  </r>
  <r>
    <d v="2024-01-28T00:00:00"/>
    <x v="1"/>
    <s v="HP"/>
    <x v="27"/>
    <x v="0"/>
    <s v="Laptop"/>
    <n v="53000"/>
    <n v="7800"/>
    <x v="0"/>
    <x v="0"/>
    <n v="0.14716981132075471"/>
  </r>
  <r>
    <d v="2024-01-29T00:00:00"/>
    <x v="2"/>
    <s v="CG"/>
    <x v="28"/>
    <x v="1"/>
    <s v="Chair"/>
    <n v="15500"/>
    <n v="2300"/>
    <x v="0"/>
    <x v="0"/>
    <n v="0.14838709677419354"/>
  </r>
  <r>
    <d v="2024-01-30T00:00:00"/>
    <x v="3"/>
    <s v="TR"/>
    <x v="29"/>
    <x v="0"/>
    <s v="Mobile"/>
    <n v="24000"/>
    <n v="3800"/>
    <x v="0"/>
    <x v="0"/>
    <n v="0.15833333333333333"/>
  </r>
  <r>
    <d v="2024-01-31T00:00:00"/>
    <x v="0"/>
    <s v="TN"/>
    <x v="30"/>
    <x v="0"/>
    <s v="TV"/>
    <n v="42000"/>
    <n v="6300"/>
    <x v="0"/>
    <x v="0"/>
    <n v="0.15"/>
  </r>
  <r>
    <d v="2024-02-01T00:00:00"/>
    <x v="0"/>
    <s v="KA"/>
    <x v="2"/>
    <x v="1"/>
    <s v="Sofa"/>
    <n v="62000"/>
    <n v="9200"/>
    <x v="0"/>
    <x v="1"/>
    <n v="0.14838709677419354"/>
  </r>
  <r>
    <d v="2024-02-02T00:00:00"/>
    <x v="1"/>
    <s v="DL"/>
    <x v="3"/>
    <x v="0"/>
    <s v="Laptop"/>
    <n v="56000"/>
    <n v="8100"/>
    <x v="0"/>
    <x v="1"/>
    <n v="0.14464285714285716"/>
  </r>
  <r>
    <d v="2024-02-03T00:00:00"/>
    <x v="2"/>
    <s v="MH"/>
    <x v="31"/>
    <x v="1"/>
    <s v="Table"/>
    <n v="21000"/>
    <n v="3100"/>
    <x v="0"/>
    <x v="1"/>
    <n v="0.14761904761904762"/>
  </r>
  <r>
    <d v="2024-02-04T00:00:00"/>
    <x v="3"/>
    <s v="WB"/>
    <x v="32"/>
    <x v="0"/>
    <s v="Mobile"/>
    <n v="27000"/>
    <n v="4100"/>
    <x v="0"/>
    <x v="1"/>
    <n v="0.15185185185185185"/>
  </r>
  <r>
    <d v="2024-02-05T00:00:00"/>
    <x v="0"/>
    <s v="TN"/>
    <x v="0"/>
    <x v="0"/>
    <s v="Mobile"/>
    <n v="31000"/>
    <n v="5200"/>
    <x v="0"/>
    <x v="1"/>
    <n v="0.16774193548387098"/>
  </r>
  <r>
    <d v="2024-02-06T00:00:00"/>
    <x v="0"/>
    <s v="KA"/>
    <x v="33"/>
    <x v="1"/>
    <s v="Chair"/>
    <n v="14500"/>
    <n v="2000"/>
    <x v="0"/>
    <x v="1"/>
    <n v="0.13793103448275862"/>
  </r>
  <r>
    <d v="2024-02-07T00:00:00"/>
    <x v="1"/>
    <s v="UP"/>
    <x v="34"/>
    <x v="0"/>
    <s v="Laptop"/>
    <n v="58000"/>
    <n v="8400"/>
    <x v="0"/>
    <x v="1"/>
    <n v="0.14482758620689656"/>
  </r>
  <r>
    <d v="2024-02-08T00:00:00"/>
    <x v="2"/>
    <s v="GJ"/>
    <x v="35"/>
    <x v="1"/>
    <s v="Bed"/>
    <n v="33000"/>
    <n v="4700"/>
    <x v="0"/>
    <x v="1"/>
    <n v="0.14242424242424243"/>
  </r>
  <r>
    <d v="2024-02-09T00:00:00"/>
    <x v="3"/>
    <s v="OR"/>
    <x v="36"/>
    <x v="0"/>
    <s v="TV"/>
    <n v="39000"/>
    <n v="5800"/>
    <x v="0"/>
    <x v="1"/>
    <n v="0.14871794871794872"/>
  </r>
  <r>
    <d v="2024-02-10T00:00:00"/>
    <x v="0"/>
    <s v="TN"/>
    <x v="1"/>
    <x v="0"/>
    <s v="Mobile"/>
    <n v="29500"/>
    <n v="4800"/>
    <x v="0"/>
    <x v="1"/>
    <n v="0.16271186440677965"/>
  </r>
  <r>
    <d v="2024-02-11T00:00:00"/>
    <x v="0"/>
    <s v="KA"/>
    <x v="37"/>
    <x v="1"/>
    <s v="Table"/>
    <n v="17500"/>
    <n v="2500"/>
    <x v="0"/>
    <x v="1"/>
    <n v="0.14285714285714285"/>
  </r>
  <r>
    <d v="2024-02-12T00:00:00"/>
    <x v="1"/>
    <s v="HR"/>
    <x v="38"/>
    <x v="0"/>
    <s v="Laptop"/>
    <n v="57000"/>
    <n v="8300"/>
    <x v="0"/>
    <x v="1"/>
    <n v="0.14561403508771931"/>
  </r>
  <r>
    <d v="2024-02-13T00:00:00"/>
    <x v="2"/>
    <s v="MH"/>
    <x v="39"/>
    <x v="1"/>
    <s v="Sofa"/>
    <n v="61000"/>
    <n v="9100"/>
    <x v="0"/>
    <x v="1"/>
    <n v="0.14918032786885246"/>
  </r>
  <r>
    <d v="2024-02-14T00:00:00"/>
    <x v="3"/>
    <s v="BH"/>
    <x v="40"/>
    <x v="0"/>
    <s v="Mobile"/>
    <n v="25500"/>
    <n v="4000"/>
    <x v="0"/>
    <x v="1"/>
    <n v="0.15686274509803921"/>
  </r>
  <r>
    <d v="2024-02-15T00:00:00"/>
    <x v="0"/>
    <s v="TN"/>
    <x v="41"/>
    <x v="0"/>
    <s v="TV"/>
    <n v="43000"/>
    <n v="6500"/>
    <x v="0"/>
    <x v="1"/>
    <n v="0.15116279069767441"/>
  </r>
  <r>
    <d v="2024-02-16T00:00:00"/>
    <x v="0"/>
    <s v="KA"/>
    <x v="42"/>
    <x v="1"/>
    <s v="Bed"/>
    <n v="34000"/>
    <n v="4800"/>
    <x v="0"/>
    <x v="1"/>
    <n v="0.14117647058823529"/>
  </r>
  <r>
    <d v="2024-02-17T00:00:00"/>
    <x v="1"/>
    <s v="RJ"/>
    <x v="43"/>
    <x v="0"/>
    <s v="Laptop"/>
    <n v="54500"/>
    <n v="8000"/>
    <x v="0"/>
    <x v="1"/>
    <n v="0.14678899082568808"/>
  </r>
  <r>
    <d v="2024-02-18T00:00:00"/>
    <x v="2"/>
    <s v="MP"/>
    <x v="44"/>
    <x v="1"/>
    <s v="Chair"/>
    <n v="16500"/>
    <n v="2400"/>
    <x v="0"/>
    <x v="1"/>
    <n v="0.14545454545454545"/>
  </r>
  <r>
    <d v="2024-02-19T00:00:00"/>
    <x v="3"/>
    <s v="AS"/>
    <x v="45"/>
    <x v="0"/>
    <s v="Mobile"/>
    <n v="23500"/>
    <n v="3700"/>
    <x v="0"/>
    <x v="1"/>
    <n v="0.1574468085106383"/>
  </r>
  <r>
    <d v="2024-02-20T00:00:00"/>
    <x v="0"/>
    <s v="TN"/>
    <x v="46"/>
    <x v="0"/>
    <s v="Mobile"/>
    <n v="26000"/>
    <n v="4100"/>
    <x v="0"/>
    <x v="1"/>
    <n v="0.15769230769230769"/>
  </r>
  <r>
    <d v="2024-02-21T00:00:00"/>
    <x v="0"/>
    <s v="KA"/>
    <x v="47"/>
    <x v="1"/>
    <s v="Table"/>
    <n v="18500"/>
    <n v="2700"/>
    <x v="0"/>
    <x v="1"/>
    <n v="0.14594594594594595"/>
  </r>
  <r>
    <d v="2024-02-22T00:00:00"/>
    <x v="1"/>
    <s v="PB"/>
    <x v="48"/>
    <x v="0"/>
    <s v="TV"/>
    <n v="40500"/>
    <n v="6000"/>
    <x v="0"/>
    <x v="1"/>
    <n v="0.14814814814814814"/>
  </r>
  <r>
    <d v="2024-02-23T00:00:00"/>
    <x v="2"/>
    <s v="RJ"/>
    <x v="49"/>
    <x v="1"/>
    <s v="Bed"/>
    <n v="32000"/>
    <n v="4600"/>
    <x v="0"/>
    <x v="1"/>
    <n v="0.14374999999999999"/>
  </r>
  <r>
    <d v="2024-02-24T00:00:00"/>
    <x v="3"/>
    <s v="JH"/>
    <x v="50"/>
    <x v="0"/>
    <s v="Laptop"/>
    <n v="51500"/>
    <n v="7500"/>
    <x v="0"/>
    <x v="1"/>
    <n v="0.14563106796116504"/>
  </r>
  <r>
    <d v="2024-02-25T00:00:00"/>
    <x v="0"/>
    <s v="TN"/>
    <x v="51"/>
    <x v="0"/>
    <s v="Mobile"/>
    <n v="28500"/>
    <n v="4500"/>
    <x v="0"/>
    <x v="1"/>
    <n v="0.15789473684210525"/>
  </r>
  <r>
    <d v="2024-02-26T00:00:00"/>
    <x v="0"/>
    <s v="KA"/>
    <x v="52"/>
    <x v="1"/>
    <s v="Chair"/>
    <n v="15000"/>
    <n v="2200"/>
    <x v="0"/>
    <x v="1"/>
    <n v="0.14666666666666667"/>
  </r>
  <r>
    <d v="2024-02-27T00:00:00"/>
    <x v="1"/>
    <s v="UK"/>
    <x v="53"/>
    <x v="0"/>
    <s v="Laptop"/>
    <n v="52500"/>
    <n v="7700"/>
    <x v="0"/>
    <x v="1"/>
    <n v="0.14666666666666667"/>
  </r>
  <r>
    <d v="2024-02-28T00:00:00"/>
    <x v="2"/>
    <s v="CG"/>
    <x v="54"/>
    <x v="1"/>
    <s v="Table"/>
    <n v="19500"/>
    <n v="2900"/>
    <x v="0"/>
    <x v="1"/>
    <n v="0.14871794871794872"/>
  </r>
  <r>
    <d v="2024-02-29T00:00:00"/>
    <x v="3"/>
    <s v="TR"/>
    <x v="49"/>
    <x v="0"/>
    <s v="Mobile"/>
    <n v="24500"/>
    <n v="3900"/>
    <x v="0"/>
    <x v="1"/>
    <n v="0.15918367346938775"/>
  </r>
  <r>
    <d v="2024-03-10T00:00:00"/>
    <x v="3"/>
    <s v="OR"/>
    <x v="9"/>
    <x v="1"/>
    <s v="Bed"/>
    <n v="30000"/>
    <n v="4000"/>
    <x v="0"/>
    <x v="2"/>
    <n v="0.13333333333333333"/>
  </r>
  <r>
    <d v="2024-03-11T00:00:00"/>
    <x v="0"/>
    <s v="TN"/>
    <x v="10"/>
    <x v="0"/>
    <s v="Mobile"/>
    <n v="25000"/>
    <n v="4200"/>
    <x v="0"/>
    <x v="2"/>
    <n v="0.16800000000000001"/>
  </r>
  <r>
    <d v="2024-03-12T00:00:00"/>
    <x v="0"/>
    <s v="TN"/>
    <x v="11"/>
    <x v="1"/>
    <s v="Table"/>
    <n v="18000"/>
    <n v="2600"/>
    <x v="0"/>
    <x v="2"/>
    <n v="0.14444444444444443"/>
  </r>
  <r>
    <d v="2024-03-13T00:00:00"/>
    <x v="1"/>
    <s v="UP"/>
    <x v="12"/>
    <x v="0"/>
    <s v="TV"/>
    <n v="38000"/>
    <n v="5600"/>
    <x v="0"/>
    <x v="2"/>
    <n v="0.14736842105263157"/>
  </r>
  <r>
    <d v="2024-03-14T00:00:00"/>
    <x v="2"/>
    <s v="GJ"/>
    <x v="13"/>
    <x v="1"/>
    <s v="Chair"/>
    <n v="16000"/>
    <n v="2200"/>
    <x v="0"/>
    <x v="2"/>
    <n v="0.13750000000000001"/>
  </r>
  <r>
    <d v="2024-03-15T00:00:00"/>
    <x v="3"/>
    <s v="AS"/>
    <x v="14"/>
    <x v="0"/>
    <s v="Laptop"/>
    <n v="50000"/>
    <n v="7200"/>
    <x v="0"/>
    <x v="2"/>
    <n v="0.14399999999999999"/>
  </r>
  <r>
    <d v="2024-03-16T00:00:00"/>
    <x v="0"/>
    <s v="KA"/>
    <x v="15"/>
    <x v="0"/>
    <s v="Mobile"/>
    <n v="27000"/>
    <n v="4300"/>
    <x v="0"/>
    <x v="2"/>
    <n v="0.15925925925925927"/>
  </r>
  <r>
    <d v="2024-03-17T00:00:00"/>
    <x v="0"/>
    <s v="TN"/>
    <x v="16"/>
    <x v="1"/>
    <s v="Bed"/>
    <n v="32000"/>
    <n v="4500"/>
    <x v="0"/>
    <x v="2"/>
    <n v="0.140625"/>
  </r>
  <r>
    <d v="2024-03-18T00:00:00"/>
    <x v="1"/>
    <s v="PB"/>
    <x v="17"/>
    <x v="0"/>
    <s v="TV"/>
    <n v="41000"/>
    <n v="6100"/>
    <x v="0"/>
    <x v="2"/>
    <n v="0.14878048780487804"/>
  </r>
  <r>
    <d v="2024-03-19T00:00:00"/>
    <x v="2"/>
    <s v="RJ"/>
    <x v="18"/>
    <x v="1"/>
    <s v="Sofa"/>
    <n v="58000"/>
    <n v="8500"/>
    <x v="0"/>
    <x v="2"/>
    <n v="0.14655172413793102"/>
  </r>
  <r>
    <d v="2024-03-20T00:00:00"/>
    <x v="3"/>
    <s v="JH"/>
    <x v="19"/>
    <x v="0"/>
    <s v="Mobile"/>
    <n v="26000"/>
    <n v="3900"/>
    <x v="0"/>
    <x v="2"/>
    <n v="0.15"/>
  </r>
  <r>
    <d v="2024-03-21T00:00:00"/>
    <x v="0"/>
    <s v="TN"/>
    <x v="20"/>
    <x v="0"/>
    <s v="Headset"/>
    <n v="9000"/>
    <n v="1700"/>
    <x v="0"/>
    <x v="2"/>
    <n v="0.18888888888888888"/>
  </r>
  <r>
    <d v="2024-04-22T00:00:00"/>
    <x v="0"/>
    <s v="KA"/>
    <x v="21"/>
    <x v="1"/>
    <s v="Chair"/>
    <n v="14000"/>
    <n v="2100"/>
    <x v="0"/>
    <x v="3"/>
    <n v="0.15"/>
  </r>
  <r>
    <d v="2024-04-23T00:00:00"/>
    <x v="1"/>
    <s v="UK"/>
    <x v="22"/>
    <x v="0"/>
    <s v="Laptop"/>
    <n v="54000"/>
    <n v="7900"/>
    <x v="0"/>
    <x v="3"/>
    <n v="0.14629629629629629"/>
  </r>
  <r>
    <d v="2024-04-24T00:00:00"/>
    <x v="2"/>
    <s v="MP"/>
    <x v="23"/>
    <x v="1"/>
    <s v="Table"/>
    <n v="19000"/>
    <n v="2800"/>
    <x v="0"/>
    <x v="3"/>
    <n v="0.14736842105263157"/>
  </r>
  <r>
    <d v="2024-04-25T00:00:00"/>
    <x v="3"/>
    <s v="BH"/>
    <x v="24"/>
    <x v="0"/>
    <s v="TV"/>
    <n v="36000"/>
    <n v="5400"/>
    <x v="0"/>
    <x v="3"/>
    <n v="0.15"/>
  </r>
  <r>
    <d v="2024-04-26T00:00:00"/>
    <x v="0"/>
    <s v="TN"/>
    <x v="25"/>
    <x v="0"/>
    <s v="Mobile"/>
    <n v="29000"/>
    <n v="4600"/>
    <x v="0"/>
    <x v="3"/>
    <n v="0.15862068965517243"/>
  </r>
  <r>
    <d v="2024-04-27T00:00:00"/>
    <x v="0"/>
    <s v="KA"/>
    <x v="26"/>
    <x v="1"/>
    <s v="Bed"/>
    <n v="31000"/>
    <n v="4400"/>
    <x v="0"/>
    <x v="3"/>
    <n v="0.14193548387096774"/>
  </r>
  <r>
    <d v="2024-04-28T00:00:00"/>
    <x v="1"/>
    <s v="HP"/>
    <x v="27"/>
    <x v="0"/>
    <s v="Laptop"/>
    <n v="53000"/>
    <n v="7800"/>
    <x v="0"/>
    <x v="3"/>
    <n v="0.14716981132075471"/>
  </r>
  <r>
    <d v="2024-05-02T00:00:00"/>
    <x v="2"/>
    <s v="CG"/>
    <x v="28"/>
    <x v="1"/>
    <s v="Chair"/>
    <n v="15500"/>
    <n v="2300"/>
    <x v="0"/>
    <x v="4"/>
    <n v="0.14838709677419354"/>
  </r>
  <r>
    <d v="2024-05-03T00:00:00"/>
    <x v="3"/>
    <s v="TR"/>
    <x v="29"/>
    <x v="0"/>
    <s v="Mobile"/>
    <n v="24000"/>
    <n v="3800"/>
    <x v="0"/>
    <x v="4"/>
    <n v="0.15833333333333333"/>
  </r>
  <r>
    <d v="2024-05-04T00:00:00"/>
    <x v="0"/>
    <s v="TN"/>
    <x v="30"/>
    <x v="0"/>
    <s v="TV"/>
    <n v="42000"/>
    <n v="6300"/>
    <x v="0"/>
    <x v="4"/>
    <n v="0.15"/>
  </r>
  <r>
    <d v="2024-05-05T00:00:00"/>
    <x v="0"/>
    <s v="KA"/>
    <x v="2"/>
    <x v="1"/>
    <s v="Sofa"/>
    <n v="62000"/>
    <n v="9200"/>
    <x v="0"/>
    <x v="4"/>
    <n v="0.14838709677419354"/>
  </r>
  <r>
    <d v="2024-05-06T00:00:00"/>
    <x v="1"/>
    <s v="DL"/>
    <x v="3"/>
    <x v="0"/>
    <s v="Laptop"/>
    <n v="56000"/>
    <n v="8100"/>
    <x v="0"/>
    <x v="4"/>
    <n v="0.14464285714285716"/>
  </r>
  <r>
    <d v="2024-06-03T00:00:00"/>
    <x v="2"/>
    <s v="MH"/>
    <x v="31"/>
    <x v="1"/>
    <s v="Table"/>
    <n v="21000"/>
    <n v="3100"/>
    <x v="0"/>
    <x v="5"/>
    <n v="0.14761904761904762"/>
  </r>
  <r>
    <d v="2024-06-04T00:00:00"/>
    <x v="3"/>
    <s v="WB"/>
    <x v="32"/>
    <x v="0"/>
    <s v="Mobile"/>
    <n v="27000"/>
    <n v="4100"/>
    <x v="0"/>
    <x v="5"/>
    <n v="0.15185185185185185"/>
  </r>
  <r>
    <d v="2024-06-05T00:00:00"/>
    <x v="0"/>
    <s v="TN"/>
    <x v="0"/>
    <x v="0"/>
    <s v="Mobile"/>
    <n v="31000"/>
    <n v="5200"/>
    <x v="0"/>
    <x v="5"/>
    <n v="0.16774193548387098"/>
  </r>
  <r>
    <d v="2024-06-06T00:00:00"/>
    <x v="0"/>
    <s v="KA"/>
    <x v="33"/>
    <x v="1"/>
    <s v="Chair"/>
    <n v="14500"/>
    <n v="2000"/>
    <x v="0"/>
    <x v="5"/>
    <n v="0.13793103448275862"/>
  </r>
  <r>
    <d v="2024-06-07T00:00:00"/>
    <x v="1"/>
    <s v="UP"/>
    <x v="34"/>
    <x v="0"/>
    <s v="Laptop"/>
    <n v="58000"/>
    <n v="8400"/>
    <x v="0"/>
    <x v="5"/>
    <n v="0.14482758620689656"/>
  </r>
  <r>
    <d v="2024-07-08T00:00:00"/>
    <x v="2"/>
    <s v="GJ"/>
    <x v="35"/>
    <x v="1"/>
    <s v="Bed"/>
    <n v="33000"/>
    <n v="4700"/>
    <x v="0"/>
    <x v="6"/>
    <n v="0.14242424242424243"/>
  </r>
  <r>
    <d v="2024-07-09T00:00:00"/>
    <x v="3"/>
    <s v="OR"/>
    <x v="36"/>
    <x v="0"/>
    <s v="TV"/>
    <n v="39000"/>
    <n v="5800"/>
    <x v="0"/>
    <x v="6"/>
    <n v="0.14871794871794872"/>
  </r>
  <r>
    <d v="2024-07-10T00:00:00"/>
    <x v="0"/>
    <s v="TN"/>
    <x v="1"/>
    <x v="0"/>
    <s v="Mobile"/>
    <n v="29500"/>
    <n v="4800"/>
    <x v="0"/>
    <x v="6"/>
    <n v="0.16271186440677965"/>
  </r>
  <r>
    <d v="2024-07-11T00:00:00"/>
    <x v="0"/>
    <s v="KA"/>
    <x v="37"/>
    <x v="1"/>
    <s v="Table"/>
    <n v="17500"/>
    <n v="2500"/>
    <x v="0"/>
    <x v="6"/>
    <n v="0.14285714285714285"/>
  </r>
  <r>
    <d v="2024-07-12T00:00:00"/>
    <x v="1"/>
    <s v="HR"/>
    <x v="38"/>
    <x v="0"/>
    <s v="Laptop"/>
    <n v="57000"/>
    <n v="8300"/>
    <x v="0"/>
    <x v="6"/>
    <n v="0.14561403508771931"/>
  </r>
  <r>
    <d v="2024-07-13T00:00:00"/>
    <x v="2"/>
    <s v="MH"/>
    <x v="39"/>
    <x v="1"/>
    <s v="Sofa"/>
    <n v="61000"/>
    <n v="9100"/>
    <x v="0"/>
    <x v="6"/>
    <n v="0.14918032786885246"/>
  </r>
  <r>
    <d v="2024-07-14T00:00:00"/>
    <x v="3"/>
    <s v="BH"/>
    <x v="40"/>
    <x v="0"/>
    <s v="Mobile"/>
    <n v="25500"/>
    <n v="4000"/>
    <x v="0"/>
    <x v="6"/>
    <n v="0.15686274509803921"/>
  </r>
  <r>
    <d v="2024-07-15T00:00:00"/>
    <x v="0"/>
    <s v="TN"/>
    <x v="41"/>
    <x v="0"/>
    <s v="TV"/>
    <n v="43000"/>
    <n v="6500"/>
    <x v="0"/>
    <x v="6"/>
    <n v="0.15116279069767441"/>
  </r>
  <r>
    <d v="2024-07-16T00:00:00"/>
    <x v="0"/>
    <s v="KA"/>
    <x v="42"/>
    <x v="1"/>
    <s v="Bed"/>
    <n v="34000"/>
    <n v="4800"/>
    <x v="0"/>
    <x v="6"/>
    <n v="0.14117647058823529"/>
  </r>
  <r>
    <d v="2024-08-17T00:00:00"/>
    <x v="1"/>
    <s v="RJ"/>
    <x v="43"/>
    <x v="0"/>
    <s v="Laptop"/>
    <n v="54500"/>
    <n v="8000"/>
    <x v="0"/>
    <x v="7"/>
    <n v="0.14678899082568808"/>
  </r>
  <r>
    <d v="2024-08-18T00:00:00"/>
    <x v="2"/>
    <s v="MP"/>
    <x v="44"/>
    <x v="1"/>
    <s v="Chair"/>
    <n v="16500"/>
    <n v="2400"/>
    <x v="0"/>
    <x v="7"/>
    <n v="0.14545454545454545"/>
  </r>
  <r>
    <d v="2024-08-19T00:00:00"/>
    <x v="3"/>
    <s v="AS"/>
    <x v="45"/>
    <x v="0"/>
    <s v="Mobile"/>
    <n v="23500"/>
    <n v="3700"/>
    <x v="0"/>
    <x v="7"/>
    <n v="0.1574468085106383"/>
  </r>
  <r>
    <d v="2024-08-20T00:00:00"/>
    <x v="0"/>
    <s v="TN"/>
    <x v="46"/>
    <x v="0"/>
    <s v="Mobile"/>
    <n v="26000"/>
    <n v="4100"/>
    <x v="0"/>
    <x v="7"/>
    <n v="0.15769230769230769"/>
  </r>
  <r>
    <d v="2024-08-21T00:00:00"/>
    <x v="0"/>
    <s v="KA"/>
    <x v="47"/>
    <x v="1"/>
    <s v="Table"/>
    <n v="18500"/>
    <n v="2700"/>
    <x v="0"/>
    <x v="7"/>
    <n v="0.14594594594594595"/>
  </r>
  <r>
    <d v="2024-08-22T00:00:00"/>
    <x v="1"/>
    <s v="PB"/>
    <x v="48"/>
    <x v="0"/>
    <s v="TV"/>
    <n v="40500"/>
    <n v="6000"/>
    <x v="0"/>
    <x v="7"/>
    <n v="0.14814814814814814"/>
  </r>
  <r>
    <d v="2024-08-23T00:00:00"/>
    <x v="2"/>
    <s v="RJ"/>
    <x v="49"/>
    <x v="1"/>
    <s v="Bed"/>
    <n v="32000"/>
    <n v="4600"/>
    <x v="0"/>
    <x v="7"/>
    <n v="0.14374999999999999"/>
  </r>
  <r>
    <d v="2024-09-24T00:00:00"/>
    <x v="3"/>
    <s v="JH"/>
    <x v="50"/>
    <x v="0"/>
    <s v="Laptop"/>
    <n v="51500"/>
    <n v="7500"/>
    <x v="0"/>
    <x v="8"/>
    <n v="0.14563106796116504"/>
  </r>
  <r>
    <d v="2024-09-25T00:00:00"/>
    <x v="0"/>
    <s v="TN"/>
    <x v="51"/>
    <x v="0"/>
    <s v="Mobile"/>
    <n v="28500"/>
    <n v="4500"/>
    <x v="0"/>
    <x v="8"/>
    <n v="0.15789473684210525"/>
  </r>
  <r>
    <d v="2024-09-26T00:00:00"/>
    <x v="0"/>
    <s v="KA"/>
    <x v="52"/>
    <x v="1"/>
    <s v="Chair"/>
    <n v="15000"/>
    <n v="2200"/>
    <x v="0"/>
    <x v="8"/>
    <n v="0.14666666666666667"/>
  </r>
  <r>
    <d v="2024-09-27T00:00:00"/>
    <x v="1"/>
    <s v="UK"/>
    <x v="53"/>
    <x v="0"/>
    <s v="Laptop"/>
    <n v="52500"/>
    <n v="7700"/>
    <x v="0"/>
    <x v="8"/>
    <n v="0.14666666666666667"/>
  </r>
  <r>
    <d v="2024-09-28T00:00:00"/>
    <x v="2"/>
    <s v="CG"/>
    <x v="54"/>
    <x v="1"/>
    <s v="Table"/>
    <n v="19500"/>
    <n v="2900"/>
    <x v="0"/>
    <x v="8"/>
    <n v="0.14871794871794872"/>
  </r>
  <r>
    <d v="2024-09-29T00:00:00"/>
    <x v="3"/>
    <s v="TR"/>
    <x v="49"/>
    <x v="0"/>
    <s v="Mobile"/>
    <n v="24500"/>
    <n v="3900"/>
    <x v="0"/>
    <x v="8"/>
    <n v="0.15918367346938775"/>
  </r>
  <r>
    <d v="2024-10-01T00:00:00"/>
    <x v="0"/>
    <s v="TN"/>
    <x v="0"/>
    <x v="0"/>
    <s v="Mobile"/>
    <n v="30000"/>
    <n v="5000"/>
    <x v="0"/>
    <x v="9"/>
    <n v="0.16666666666666666"/>
  </r>
  <r>
    <d v="2024-10-02T00:00:00"/>
    <x v="0"/>
    <s v="TN"/>
    <x v="1"/>
    <x v="0"/>
    <s v="Mobile"/>
    <n v="28000"/>
    <n v="4500"/>
    <x v="0"/>
    <x v="9"/>
    <n v="0.16071428571428573"/>
  </r>
  <r>
    <d v="2024-10-03T00:00:00"/>
    <x v="0"/>
    <s v="KA"/>
    <x v="2"/>
    <x v="1"/>
    <s v="Chair"/>
    <n v="15000"/>
    <n v="2000"/>
    <x v="0"/>
    <x v="9"/>
    <n v="0.13333333333333333"/>
  </r>
  <r>
    <d v="2024-10-04T00:00:00"/>
    <x v="1"/>
    <s v="DL"/>
    <x v="3"/>
    <x v="0"/>
    <s v="Laptop"/>
    <n v="55000"/>
    <n v="8000"/>
    <x v="0"/>
    <x v="9"/>
    <n v="0.14545454545454545"/>
  </r>
  <r>
    <d v="2024-10-05T00:00:00"/>
    <x v="2"/>
    <s v="MH"/>
    <x v="4"/>
    <x v="1"/>
    <s v="Table"/>
    <n v="20000"/>
    <n v="3000"/>
    <x v="0"/>
    <x v="9"/>
    <n v="0.15"/>
  </r>
  <r>
    <d v="2024-11-02T00:00:00"/>
    <x v="3"/>
    <s v="WB"/>
    <x v="5"/>
    <x v="0"/>
    <s v="TV"/>
    <n v="40000"/>
    <n v="6000"/>
    <x v="0"/>
    <x v="10"/>
    <n v="0.15"/>
  </r>
  <r>
    <d v="2024-11-03T00:00:00"/>
    <x v="0"/>
    <s v="KA"/>
    <x v="6"/>
    <x v="0"/>
    <s v="Headset"/>
    <n v="8000"/>
    <n v="1500"/>
    <x v="0"/>
    <x v="10"/>
    <n v="0.1875"/>
  </r>
  <r>
    <d v="2024-11-04T00:00:00"/>
    <x v="1"/>
    <s v="HR"/>
    <x v="7"/>
    <x v="1"/>
    <s v="Sofa"/>
    <n v="60000"/>
    <n v="9000"/>
    <x v="0"/>
    <x v="10"/>
    <n v="0.15"/>
  </r>
  <r>
    <d v="2024-11-05T00:00:00"/>
    <x v="2"/>
    <s v="MH"/>
    <x v="8"/>
    <x v="0"/>
    <s v="Laptop"/>
    <n v="52000"/>
    <n v="7500"/>
    <x v="0"/>
    <x v="10"/>
    <n v="0.14423076923076922"/>
  </r>
  <r>
    <d v="2024-11-06T00:00:00"/>
    <x v="3"/>
    <s v="OR"/>
    <x v="9"/>
    <x v="1"/>
    <s v="Bed"/>
    <n v="30000"/>
    <n v="4000"/>
    <x v="0"/>
    <x v="10"/>
    <n v="0.13333333333333333"/>
  </r>
  <r>
    <d v="2024-12-02T00:00:00"/>
    <x v="0"/>
    <s v="KA"/>
    <x v="2"/>
    <x v="1"/>
    <s v="Sofa"/>
    <n v="62000"/>
    <n v="9200"/>
    <x v="0"/>
    <x v="11"/>
    <n v="0.14838709677419354"/>
  </r>
  <r>
    <d v="2024-12-03T00:00:00"/>
    <x v="1"/>
    <s v="DL"/>
    <x v="3"/>
    <x v="0"/>
    <s v="Laptop"/>
    <n v="56000"/>
    <n v="8100"/>
    <x v="0"/>
    <x v="11"/>
    <n v="0.14464285714285716"/>
  </r>
  <r>
    <d v="2024-12-04T00:00:00"/>
    <x v="2"/>
    <s v="MH"/>
    <x v="31"/>
    <x v="1"/>
    <s v="Table"/>
    <n v="21000"/>
    <n v="3100"/>
    <x v="0"/>
    <x v="11"/>
    <n v="0.14761904761904762"/>
  </r>
  <r>
    <d v="2024-12-05T00:00:00"/>
    <x v="3"/>
    <s v="WB"/>
    <x v="32"/>
    <x v="0"/>
    <s v="Mobile"/>
    <n v="27000"/>
    <n v="4100"/>
    <x v="0"/>
    <x v="11"/>
    <n v="0.15185185185185185"/>
  </r>
  <r>
    <d v="2024-12-06T00:00:00"/>
    <x v="0"/>
    <s v="TN"/>
    <x v="0"/>
    <x v="0"/>
    <s v="Mobile"/>
    <n v="31000"/>
    <n v="5200"/>
    <x v="0"/>
    <x v="11"/>
    <n v="0.16774193548387098"/>
  </r>
  <r>
    <d v="2024-12-07T00:00:00"/>
    <x v="0"/>
    <s v="KA"/>
    <x v="33"/>
    <x v="1"/>
    <s v="Chair"/>
    <n v="14500"/>
    <n v="2000"/>
    <x v="0"/>
    <x v="11"/>
    <n v="0.13793103448275862"/>
  </r>
  <r>
    <d v="2024-12-08T00:00:00"/>
    <x v="1"/>
    <s v="UP"/>
    <x v="34"/>
    <x v="0"/>
    <s v="Laptop"/>
    <n v="58000"/>
    <n v="8400"/>
    <x v="0"/>
    <x v="11"/>
    <n v="0.14482758620689656"/>
  </r>
  <r>
    <d v="2024-12-09T00:00:00"/>
    <x v="2"/>
    <s v="GJ"/>
    <x v="35"/>
    <x v="1"/>
    <s v="Bed"/>
    <n v="33000"/>
    <n v="4700"/>
    <x v="0"/>
    <x v="11"/>
    <n v="0.14242424242424243"/>
  </r>
  <r>
    <d v="2024-12-10T00:00:00"/>
    <x v="3"/>
    <s v="OR"/>
    <x v="36"/>
    <x v="0"/>
    <s v="TV"/>
    <n v="39000"/>
    <n v="5800"/>
    <x v="0"/>
    <x v="11"/>
    <n v="0.14871794871794872"/>
  </r>
  <r>
    <d v="2024-12-11T00:00:00"/>
    <x v="0"/>
    <s v="TN"/>
    <x v="1"/>
    <x v="0"/>
    <s v="Mobile"/>
    <n v="29500"/>
    <n v="4800"/>
    <x v="0"/>
    <x v="11"/>
    <n v="0.16271186440677965"/>
  </r>
  <r>
    <d v="2025-01-01T00:00:00"/>
    <x v="0"/>
    <s v="TN"/>
    <x v="0"/>
    <x v="0"/>
    <s v="Mobile"/>
    <n v="30000"/>
    <n v="5000"/>
    <x v="1"/>
    <x v="0"/>
    <n v="0.16666666666666666"/>
  </r>
  <r>
    <d v="2025-01-02T00:00:00"/>
    <x v="0"/>
    <s v="TN"/>
    <x v="1"/>
    <x v="0"/>
    <s v="Mobile"/>
    <n v="28000"/>
    <n v="4500"/>
    <x v="1"/>
    <x v="0"/>
    <n v="0.16071428571428573"/>
  </r>
  <r>
    <d v="2025-01-03T00:00:00"/>
    <x v="0"/>
    <s v="TN"/>
    <x v="0"/>
    <x v="0"/>
    <s v="Mobile"/>
    <n v="30000"/>
    <n v="5000"/>
    <x v="1"/>
    <x v="0"/>
    <n v="0.16666666666666666"/>
  </r>
  <r>
    <d v="2025-01-04T00:00:00"/>
    <x v="0"/>
    <s v="TN"/>
    <x v="1"/>
    <x v="0"/>
    <s v="Mobile"/>
    <n v="28000"/>
    <n v="4500"/>
    <x v="1"/>
    <x v="0"/>
    <n v="0.16071428571428573"/>
  </r>
  <r>
    <d v="2025-01-05T00:00:00"/>
    <x v="0"/>
    <s v="KA"/>
    <x v="2"/>
    <x v="1"/>
    <s v="Chair"/>
    <n v="15000"/>
    <n v="2000"/>
    <x v="1"/>
    <x v="0"/>
    <n v="0.13333333333333333"/>
  </r>
  <r>
    <d v="2025-01-06T00:00:00"/>
    <x v="1"/>
    <s v="DL"/>
    <x v="3"/>
    <x v="0"/>
    <s v="Laptop"/>
    <n v="55000"/>
    <n v="8000"/>
    <x v="1"/>
    <x v="0"/>
    <n v="0.14545454545454545"/>
  </r>
  <r>
    <d v="2025-01-07T00:00:00"/>
    <x v="2"/>
    <s v="MH"/>
    <x v="4"/>
    <x v="1"/>
    <s v="Table"/>
    <n v="20000"/>
    <n v="3000"/>
    <x v="1"/>
    <x v="0"/>
    <n v="0.15"/>
  </r>
  <r>
    <d v="2025-01-08T00:00:00"/>
    <x v="3"/>
    <s v="WB"/>
    <x v="5"/>
    <x v="0"/>
    <s v="TV"/>
    <n v="40000"/>
    <n v="6000"/>
    <x v="1"/>
    <x v="0"/>
    <n v="0.15"/>
  </r>
  <r>
    <d v="2025-01-09T00:00:00"/>
    <x v="0"/>
    <s v="KA"/>
    <x v="6"/>
    <x v="0"/>
    <s v="Headset"/>
    <n v="8000"/>
    <n v="1500"/>
    <x v="1"/>
    <x v="0"/>
    <n v="0.1875"/>
  </r>
  <r>
    <d v="2025-02-10T00:00:00"/>
    <x v="1"/>
    <s v="HR"/>
    <x v="7"/>
    <x v="1"/>
    <s v="Sofa"/>
    <n v="60000"/>
    <n v="9000"/>
    <x v="1"/>
    <x v="1"/>
    <n v="0.15"/>
  </r>
  <r>
    <d v="2025-02-11T00:00:00"/>
    <x v="2"/>
    <s v="MH"/>
    <x v="8"/>
    <x v="0"/>
    <s v="Laptop"/>
    <n v="52000"/>
    <n v="7500"/>
    <x v="1"/>
    <x v="1"/>
    <n v="0.14423076923076922"/>
  </r>
  <r>
    <d v="2025-02-12T00:00:00"/>
    <x v="3"/>
    <s v="OR"/>
    <x v="9"/>
    <x v="1"/>
    <s v="Bed"/>
    <n v="30000"/>
    <n v="4000"/>
    <x v="1"/>
    <x v="1"/>
    <n v="0.13333333333333333"/>
  </r>
  <r>
    <d v="2025-02-13T00:00:00"/>
    <x v="0"/>
    <s v="TN"/>
    <x v="10"/>
    <x v="0"/>
    <s v="Mobile"/>
    <n v="25000"/>
    <n v="4200"/>
    <x v="1"/>
    <x v="1"/>
    <n v="0.16800000000000001"/>
  </r>
  <r>
    <d v="2025-02-14T00:00:00"/>
    <x v="0"/>
    <s v="TN"/>
    <x v="11"/>
    <x v="1"/>
    <s v="Table"/>
    <n v="18000"/>
    <n v="2600"/>
    <x v="1"/>
    <x v="1"/>
    <n v="0.14444444444444443"/>
  </r>
  <r>
    <d v="2025-02-15T00:00:00"/>
    <x v="1"/>
    <s v="UP"/>
    <x v="12"/>
    <x v="0"/>
    <s v="TV"/>
    <n v="38000"/>
    <n v="5600"/>
    <x v="1"/>
    <x v="1"/>
    <n v="0.14736842105263157"/>
  </r>
  <r>
    <d v="2025-02-16T00:00:00"/>
    <x v="2"/>
    <s v="GJ"/>
    <x v="13"/>
    <x v="1"/>
    <s v="Chair"/>
    <n v="16000"/>
    <n v="2200"/>
    <x v="1"/>
    <x v="1"/>
    <n v="0.13750000000000001"/>
  </r>
  <r>
    <d v="2025-03-17T00:00:00"/>
    <x v="3"/>
    <s v="AS"/>
    <x v="14"/>
    <x v="0"/>
    <s v="Laptop"/>
    <n v="50000"/>
    <n v="7200"/>
    <x v="1"/>
    <x v="2"/>
    <n v="0.14399999999999999"/>
  </r>
  <r>
    <d v="2025-03-18T00:00:00"/>
    <x v="0"/>
    <s v="KA"/>
    <x v="15"/>
    <x v="0"/>
    <s v="Mobile"/>
    <n v="27000"/>
    <n v="4300"/>
    <x v="1"/>
    <x v="2"/>
    <n v="0.15925925925925927"/>
  </r>
  <r>
    <d v="2025-03-19T00:00:00"/>
    <x v="0"/>
    <s v="TN"/>
    <x v="16"/>
    <x v="1"/>
    <s v="Bed"/>
    <n v="32000"/>
    <n v="4500"/>
    <x v="1"/>
    <x v="2"/>
    <n v="0.140625"/>
  </r>
  <r>
    <d v="2025-03-20T00:00:00"/>
    <x v="1"/>
    <s v="PB"/>
    <x v="17"/>
    <x v="0"/>
    <s v="TV"/>
    <n v="41000"/>
    <n v="6100"/>
    <x v="1"/>
    <x v="2"/>
    <n v="0.14878048780487804"/>
  </r>
  <r>
    <d v="2025-03-21T00:00:00"/>
    <x v="2"/>
    <s v="RJ"/>
    <x v="18"/>
    <x v="1"/>
    <s v="Sofa"/>
    <n v="58000"/>
    <n v="8500"/>
    <x v="1"/>
    <x v="2"/>
    <n v="0.14655172413793102"/>
  </r>
  <r>
    <d v="2025-04-22T00:00:00"/>
    <x v="3"/>
    <s v="JH"/>
    <x v="19"/>
    <x v="0"/>
    <s v="Mobile"/>
    <n v="26000"/>
    <n v="3900"/>
    <x v="1"/>
    <x v="3"/>
    <n v="0.15"/>
  </r>
  <r>
    <d v="2025-04-23T00:00:00"/>
    <x v="0"/>
    <s v="TN"/>
    <x v="20"/>
    <x v="0"/>
    <s v="Headset"/>
    <n v="9000"/>
    <n v="1700"/>
    <x v="1"/>
    <x v="3"/>
    <n v="0.18888888888888888"/>
  </r>
  <r>
    <d v="2025-04-24T00:00:00"/>
    <x v="0"/>
    <s v="KA"/>
    <x v="21"/>
    <x v="1"/>
    <s v="Chair"/>
    <n v="14000"/>
    <n v="2100"/>
    <x v="1"/>
    <x v="3"/>
    <n v="0.15"/>
  </r>
  <r>
    <d v="2025-04-25T00:00:00"/>
    <x v="1"/>
    <s v="UK"/>
    <x v="22"/>
    <x v="0"/>
    <s v="Laptop"/>
    <n v="54000"/>
    <n v="7900"/>
    <x v="1"/>
    <x v="3"/>
    <n v="0.14629629629629629"/>
  </r>
  <r>
    <d v="2025-04-26T00:00:00"/>
    <x v="2"/>
    <s v="MP"/>
    <x v="23"/>
    <x v="1"/>
    <s v="Table"/>
    <n v="19000"/>
    <n v="2800"/>
    <x v="1"/>
    <x v="3"/>
    <n v="0.14736842105263157"/>
  </r>
  <r>
    <d v="2025-04-27T00:00:00"/>
    <x v="3"/>
    <s v="BH"/>
    <x v="24"/>
    <x v="0"/>
    <s v="TV"/>
    <n v="36000"/>
    <n v="5400"/>
    <x v="1"/>
    <x v="3"/>
    <n v="0.15"/>
  </r>
  <r>
    <d v="2025-04-28T00:00:00"/>
    <x v="0"/>
    <s v="TN"/>
    <x v="25"/>
    <x v="0"/>
    <s v="Mobile"/>
    <n v="29000"/>
    <n v="4600"/>
    <x v="1"/>
    <x v="3"/>
    <n v="0.15862068965517243"/>
  </r>
  <r>
    <d v="2025-05-01T00:00:00"/>
    <x v="0"/>
    <s v="KA"/>
    <x v="26"/>
    <x v="1"/>
    <s v="Bed"/>
    <n v="31000"/>
    <n v="4400"/>
    <x v="1"/>
    <x v="4"/>
    <n v="0.14193548387096774"/>
  </r>
  <r>
    <d v="2025-05-02T00:00:00"/>
    <x v="1"/>
    <s v="HP"/>
    <x v="27"/>
    <x v="0"/>
    <s v="Laptop"/>
    <n v="53000"/>
    <n v="7800"/>
    <x v="1"/>
    <x v="4"/>
    <n v="0.14716981132075471"/>
  </r>
  <r>
    <d v="2025-05-08T00:00:00"/>
    <x v="2"/>
    <s v="CG"/>
    <x v="28"/>
    <x v="1"/>
    <s v="Chair"/>
    <n v="15500"/>
    <n v="2300"/>
    <x v="1"/>
    <x v="4"/>
    <n v="0.14838709677419354"/>
  </r>
  <r>
    <d v="2025-05-09T00:00:00"/>
    <x v="3"/>
    <s v="TR"/>
    <x v="29"/>
    <x v="0"/>
    <s v="Mobile"/>
    <n v="24000"/>
    <n v="3800"/>
    <x v="1"/>
    <x v="4"/>
    <n v="0.15833333333333333"/>
  </r>
  <r>
    <d v="2025-05-10T00:00:00"/>
    <x v="0"/>
    <s v="TN"/>
    <x v="30"/>
    <x v="0"/>
    <s v="TV"/>
    <n v="42000"/>
    <n v="6300"/>
    <x v="1"/>
    <x v="4"/>
    <n v="0.15"/>
  </r>
  <r>
    <d v="2025-06-03T00:00:00"/>
    <x v="0"/>
    <s v="KA"/>
    <x v="2"/>
    <x v="1"/>
    <s v="Sofa"/>
    <n v="62000"/>
    <n v="9200"/>
    <x v="1"/>
    <x v="5"/>
    <n v="0.14838709677419354"/>
  </r>
  <r>
    <d v="2025-06-04T00:00:00"/>
    <x v="1"/>
    <s v="DL"/>
    <x v="3"/>
    <x v="0"/>
    <s v="Laptop"/>
    <n v="56000"/>
    <n v="8100"/>
    <x v="1"/>
    <x v="5"/>
    <n v="0.14464285714285716"/>
  </r>
  <r>
    <d v="2025-06-05T00:00:00"/>
    <x v="2"/>
    <s v="MH"/>
    <x v="31"/>
    <x v="1"/>
    <s v="Table"/>
    <n v="21000"/>
    <n v="3100"/>
    <x v="1"/>
    <x v="5"/>
    <n v="0.14761904761904762"/>
  </r>
  <r>
    <d v="2025-06-06T00:00:00"/>
    <x v="3"/>
    <s v="WB"/>
    <x v="32"/>
    <x v="0"/>
    <s v="Mobile"/>
    <n v="27000"/>
    <n v="4100"/>
    <x v="1"/>
    <x v="5"/>
    <n v="0.15185185185185185"/>
  </r>
  <r>
    <d v="2025-06-07T00:00:00"/>
    <x v="0"/>
    <s v="TN"/>
    <x v="0"/>
    <x v="0"/>
    <s v="Mobile"/>
    <n v="31000"/>
    <n v="5200"/>
    <x v="1"/>
    <x v="5"/>
    <n v="0.16774193548387098"/>
  </r>
  <r>
    <d v="2025-07-08T00:00:00"/>
    <x v="0"/>
    <s v="KA"/>
    <x v="33"/>
    <x v="1"/>
    <s v="Chair"/>
    <n v="14500"/>
    <n v="2000"/>
    <x v="1"/>
    <x v="6"/>
    <n v="0.13793103448275862"/>
  </r>
  <r>
    <d v="2025-07-09T00:00:00"/>
    <x v="1"/>
    <s v="UP"/>
    <x v="34"/>
    <x v="0"/>
    <s v="Laptop"/>
    <n v="58000"/>
    <n v="8400"/>
    <x v="1"/>
    <x v="6"/>
    <n v="0.14482758620689656"/>
  </r>
  <r>
    <d v="2025-07-10T00:00:00"/>
    <x v="2"/>
    <s v="GJ"/>
    <x v="35"/>
    <x v="1"/>
    <s v="Bed"/>
    <n v="33000"/>
    <n v="4700"/>
    <x v="1"/>
    <x v="6"/>
    <n v="0.14242424242424243"/>
  </r>
  <r>
    <d v="2025-07-11T00:00:00"/>
    <x v="3"/>
    <s v="OR"/>
    <x v="36"/>
    <x v="0"/>
    <s v="TV"/>
    <n v="39000"/>
    <n v="5800"/>
    <x v="1"/>
    <x v="6"/>
    <n v="0.14871794871794872"/>
  </r>
  <r>
    <d v="2025-07-12T00:00:00"/>
    <x v="0"/>
    <s v="TN"/>
    <x v="1"/>
    <x v="0"/>
    <s v="Mobile"/>
    <n v="29500"/>
    <n v="4800"/>
    <x v="1"/>
    <x v="6"/>
    <n v="0.16271186440677965"/>
  </r>
  <r>
    <d v="2025-07-13T00:00:00"/>
    <x v="0"/>
    <s v="KA"/>
    <x v="37"/>
    <x v="1"/>
    <s v="Table"/>
    <n v="17500"/>
    <n v="2500"/>
    <x v="1"/>
    <x v="6"/>
    <n v="0.14285714285714285"/>
  </r>
  <r>
    <d v="2025-07-14T00:00:00"/>
    <x v="1"/>
    <s v="HR"/>
    <x v="38"/>
    <x v="0"/>
    <s v="Laptop"/>
    <n v="57000"/>
    <n v="8300"/>
    <x v="1"/>
    <x v="6"/>
    <n v="0.14561403508771931"/>
  </r>
  <r>
    <d v="2025-07-15T00:00:00"/>
    <x v="2"/>
    <s v="MH"/>
    <x v="39"/>
    <x v="1"/>
    <s v="Sofa"/>
    <n v="61000"/>
    <n v="9100"/>
    <x v="1"/>
    <x v="6"/>
    <n v="0.14918032786885246"/>
  </r>
  <r>
    <d v="2025-07-16T00:00:00"/>
    <x v="3"/>
    <s v="BH"/>
    <x v="40"/>
    <x v="0"/>
    <s v="Mobile"/>
    <n v="25500"/>
    <n v="4000"/>
    <x v="1"/>
    <x v="6"/>
    <n v="0.15686274509803921"/>
  </r>
  <r>
    <d v="2025-08-17T00:00:00"/>
    <x v="0"/>
    <s v="TN"/>
    <x v="41"/>
    <x v="0"/>
    <s v="TV"/>
    <n v="43000"/>
    <n v="6500"/>
    <x v="1"/>
    <x v="7"/>
    <n v="0.15116279069767441"/>
  </r>
  <r>
    <d v="2025-08-18T00:00:00"/>
    <x v="0"/>
    <s v="KA"/>
    <x v="42"/>
    <x v="1"/>
    <s v="Bed"/>
    <n v="34000"/>
    <n v="4800"/>
    <x v="1"/>
    <x v="7"/>
    <n v="0.14117647058823529"/>
  </r>
  <r>
    <d v="2025-08-19T00:00:00"/>
    <x v="1"/>
    <s v="RJ"/>
    <x v="43"/>
    <x v="0"/>
    <s v="Laptop"/>
    <n v="54500"/>
    <n v="8000"/>
    <x v="1"/>
    <x v="7"/>
    <n v="0.14678899082568808"/>
  </r>
  <r>
    <d v="2025-08-20T00:00:00"/>
    <x v="2"/>
    <s v="MP"/>
    <x v="44"/>
    <x v="1"/>
    <s v="Chair"/>
    <n v="16500"/>
    <n v="2400"/>
    <x v="1"/>
    <x v="7"/>
    <n v="0.14545454545454545"/>
  </r>
  <r>
    <d v="2025-08-21T00:00:00"/>
    <x v="3"/>
    <s v="AS"/>
    <x v="45"/>
    <x v="0"/>
    <s v="Mobile"/>
    <n v="23500"/>
    <n v="3700"/>
    <x v="1"/>
    <x v="7"/>
    <n v="0.1574468085106383"/>
  </r>
  <r>
    <d v="2025-08-22T00:00:00"/>
    <x v="0"/>
    <s v="TN"/>
    <x v="46"/>
    <x v="0"/>
    <s v="Mobile"/>
    <n v="26000"/>
    <n v="4100"/>
    <x v="1"/>
    <x v="7"/>
    <n v="0.15769230769230769"/>
  </r>
  <r>
    <d v="2025-08-23T00:00:00"/>
    <x v="0"/>
    <s v="KA"/>
    <x v="47"/>
    <x v="1"/>
    <s v="Table"/>
    <n v="18500"/>
    <n v="2700"/>
    <x v="1"/>
    <x v="7"/>
    <n v="0.14594594594594595"/>
  </r>
  <r>
    <d v="2025-09-24T00:00:00"/>
    <x v="1"/>
    <s v="PB"/>
    <x v="48"/>
    <x v="0"/>
    <s v="TV"/>
    <n v="40500"/>
    <n v="6000"/>
    <x v="1"/>
    <x v="8"/>
    <n v="0.14814814814814814"/>
  </r>
  <r>
    <d v="2025-09-25T00:00:00"/>
    <x v="2"/>
    <s v="RJ"/>
    <x v="49"/>
    <x v="1"/>
    <s v="Bed"/>
    <n v="32000"/>
    <n v="4600"/>
    <x v="1"/>
    <x v="8"/>
    <n v="0.14374999999999999"/>
  </r>
  <r>
    <d v="2025-09-26T00:00:00"/>
    <x v="3"/>
    <s v="JH"/>
    <x v="50"/>
    <x v="0"/>
    <s v="Laptop"/>
    <n v="51500"/>
    <n v="7500"/>
    <x v="1"/>
    <x v="8"/>
    <n v="0.14563106796116504"/>
  </r>
  <r>
    <d v="2025-09-27T00:00:00"/>
    <x v="0"/>
    <s v="TN"/>
    <x v="51"/>
    <x v="0"/>
    <s v="Mobile"/>
    <n v="28500"/>
    <n v="4500"/>
    <x v="1"/>
    <x v="8"/>
    <n v="0.15789473684210525"/>
  </r>
  <r>
    <d v="2025-09-28T00:00:00"/>
    <x v="0"/>
    <s v="KA"/>
    <x v="52"/>
    <x v="1"/>
    <s v="Chair"/>
    <n v="15000"/>
    <n v="2200"/>
    <x v="1"/>
    <x v="8"/>
    <n v="0.14666666666666667"/>
  </r>
  <r>
    <d v="2025-09-29T00:00:00"/>
    <x v="1"/>
    <s v="UK"/>
    <x v="53"/>
    <x v="0"/>
    <s v="Laptop"/>
    <n v="52500"/>
    <n v="7700"/>
    <x v="1"/>
    <x v="8"/>
    <n v="0.14666666666666667"/>
  </r>
  <r>
    <d v="2025-10-01T00:00:00"/>
    <x v="2"/>
    <s v="CG"/>
    <x v="54"/>
    <x v="1"/>
    <s v="Table"/>
    <n v="19500"/>
    <n v="2900"/>
    <x v="1"/>
    <x v="9"/>
    <n v="0.14871794871794872"/>
  </r>
  <r>
    <d v="2025-10-02T00:00:00"/>
    <x v="3"/>
    <s v="TR"/>
    <x v="49"/>
    <x v="0"/>
    <s v="Mobile"/>
    <n v="24500"/>
    <n v="3900"/>
    <x v="1"/>
    <x v="9"/>
    <n v="0.15918367346938775"/>
  </r>
  <r>
    <d v="2025-10-03T00:00:00"/>
    <x v="0"/>
    <s v="KA"/>
    <x v="2"/>
    <x v="1"/>
    <s v="Chair"/>
    <n v="15000"/>
    <n v="2000"/>
    <x v="1"/>
    <x v="9"/>
    <n v="0.13333333333333333"/>
  </r>
  <r>
    <d v="2025-10-04T00:00:00"/>
    <x v="1"/>
    <s v="DL"/>
    <x v="3"/>
    <x v="0"/>
    <s v="Laptop"/>
    <n v="55000"/>
    <n v="8000"/>
    <x v="1"/>
    <x v="9"/>
    <n v="0.14545454545454545"/>
  </r>
  <r>
    <d v="2025-10-05T00:00:00"/>
    <x v="2"/>
    <s v="MH"/>
    <x v="4"/>
    <x v="1"/>
    <s v="Table"/>
    <n v="20000"/>
    <n v="3000"/>
    <x v="1"/>
    <x v="9"/>
    <n v="0.15"/>
  </r>
  <r>
    <d v="2025-11-01T00:00:00"/>
    <x v="3"/>
    <s v="WB"/>
    <x v="5"/>
    <x v="0"/>
    <s v="TV"/>
    <n v="40000"/>
    <n v="6000"/>
    <x v="1"/>
    <x v="10"/>
    <n v="0.15"/>
  </r>
  <r>
    <d v="2025-11-02T00:00:00"/>
    <x v="0"/>
    <s v="KA"/>
    <x v="6"/>
    <x v="0"/>
    <s v="Headset"/>
    <n v="8000"/>
    <n v="1500"/>
    <x v="1"/>
    <x v="10"/>
    <n v="0.1875"/>
  </r>
  <r>
    <d v="2025-11-03T00:00:00"/>
    <x v="1"/>
    <s v="HR"/>
    <x v="7"/>
    <x v="1"/>
    <s v="Sofa"/>
    <n v="60000"/>
    <n v="9000"/>
    <x v="1"/>
    <x v="10"/>
    <n v="0.15"/>
  </r>
  <r>
    <d v="2025-11-04T00:00:00"/>
    <x v="2"/>
    <s v="MH"/>
    <x v="8"/>
    <x v="0"/>
    <s v="Laptop"/>
    <n v="52000"/>
    <n v="7500"/>
    <x v="1"/>
    <x v="10"/>
    <n v="0.14423076923076922"/>
  </r>
  <r>
    <d v="2025-11-05T00:00:00"/>
    <x v="3"/>
    <s v="OR"/>
    <x v="9"/>
    <x v="1"/>
    <s v="Bed"/>
    <n v="30000"/>
    <n v="4000"/>
    <x v="1"/>
    <x v="10"/>
    <n v="0.13333333333333333"/>
  </r>
  <r>
    <d v="2025-12-01T00:00:00"/>
    <x v="0"/>
    <s v="TN"/>
    <x v="0"/>
    <x v="0"/>
    <s v="Mobile"/>
    <n v="31000"/>
    <n v="5200"/>
    <x v="1"/>
    <x v="11"/>
    <n v="0.16774193548387098"/>
  </r>
  <r>
    <d v="2025-12-02T00:00:00"/>
    <x v="0"/>
    <s v="KA"/>
    <x v="33"/>
    <x v="1"/>
    <s v="Chair"/>
    <n v="14500"/>
    <n v="2000"/>
    <x v="1"/>
    <x v="11"/>
    <n v="0.13793103448275862"/>
  </r>
  <r>
    <d v="2025-12-03T00:00:00"/>
    <x v="1"/>
    <s v="UP"/>
    <x v="34"/>
    <x v="0"/>
    <s v="Laptop"/>
    <n v="58000"/>
    <n v="8400"/>
    <x v="1"/>
    <x v="11"/>
    <n v="0.14482758620689656"/>
  </r>
  <r>
    <d v="2025-12-04T00:00:00"/>
    <x v="2"/>
    <s v="GJ"/>
    <x v="35"/>
    <x v="1"/>
    <s v="Bed"/>
    <n v="33000"/>
    <n v="4700"/>
    <x v="1"/>
    <x v="11"/>
    <n v="0.14242424242424243"/>
  </r>
  <r>
    <d v="2025-12-05T00:00:00"/>
    <x v="3"/>
    <s v="OR"/>
    <x v="36"/>
    <x v="0"/>
    <s v="TV"/>
    <n v="39000"/>
    <n v="5800"/>
    <x v="1"/>
    <x v="11"/>
    <n v="0.14871794871794872"/>
  </r>
  <r>
    <d v="2025-12-06T00:00:00"/>
    <x v="0"/>
    <s v="TN"/>
    <x v="1"/>
    <x v="0"/>
    <s v="Mobile"/>
    <n v="29500"/>
    <n v="4800"/>
    <x v="1"/>
    <x v="11"/>
    <n v="0.16271186440677965"/>
  </r>
  <r>
    <d v="2025-12-07T00:00:00"/>
    <x v="0"/>
    <s v="KA"/>
    <x v="2"/>
    <x v="1"/>
    <s v="Sofa"/>
    <n v="62000"/>
    <n v="9200"/>
    <x v="1"/>
    <x v="11"/>
    <n v="0.14838709677419354"/>
  </r>
  <r>
    <d v="2025-12-08T00:00:00"/>
    <x v="1"/>
    <s v="DL"/>
    <x v="3"/>
    <x v="0"/>
    <s v="Laptop"/>
    <n v="56000"/>
    <n v="8100"/>
    <x v="1"/>
    <x v="11"/>
    <n v="0.14464285714285716"/>
  </r>
  <r>
    <d v="2025-12-09T00:00:00"/>
    <x v="2"/>
    <s v="MH"/>
    <x v="31"/>
    <x v="1"/>
    <s v="Table"/>
    <n v="21000"/>
    <n v="3100"/>
    <x v="1"/>
    <x v="11"/>
    <n v="0.14761904761904762"/>
  </r>
  <r>
    <d v="2025-12-10T00:00:00"/>
    <x v="3"/>
    <s v="WB"/>
    <x v="32"/>
    <x v="0"/>
    <s v="Mobile"/>
    <n v="27000"/>
    <n v="4100"/>
    <x v="1"/>
    <x v="11"/>
    <n v="0.1518518518518518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6F635EB-3D92-429A-AD6A-02A03C79E181}"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8">
  <location ref="A3:B30" firstHeaderRow="1" firstDataRow="1" firstDataCol="1"/>
  <pivotFields count="11">
    <pivotField numFmtId="14" showAll="0"/>
    <pivotField showAll="0">
      <items count="5">
        <item x="3"/>
        <item x="1"/>
        <item x="0"/>
        <item x="2"/>
        <item t="default"/>
      </items>
    </pivotField>
    <pivotField showAll="0"/>
    <pivotField showAll="0"/>
    <pivotField showAll="0">
      <items count="3">
        <item x="0"/>
        <item x="1"/>
        <item t="default"/>
      </items>
    </pivotField>
    <pivotField showAll="0"/>
    <pivotField dataField="1" showAll="0"/>
    <pivotField showAll="0"/>
    <pivotField axis="axisRow" showAll="0">
      <items count="3">
        <item x="0"/>
        <item x="1"/>
        <item t="default"/>
      </items>
    </pivotField>
    <pivotField axis="axisRow" showAll="0">
      <items count="13">
        <item x="0"/>
        <item x="1"/>
        <item x="2"/>
        <item x="3"/>
        <item x="4"/>
        <item x="5"/>
        <item x="6"/>
        <item x="7"/>
        <item x="8"/>
        <item x="9"/>
        <item x="10"/>
        <item x="11"/>
        <item t="default"/>
      </items>
    </pivotField>
    <pivotField showAll="0"/>
  </pivotFields>
  <rowFields count="2">
    <field x="8"/>
    <field x="9"/>
  </rowFields>
  <rowItems count="27">
    <i>
      <x/>
    </i>
    <i r="1">
      <x/>
    </i>
    <i r="1">
      <x v="1"/>
    </i>
    <i r="1">
      <x v="2"/>
    </i>
    <i r="1">
      <x v="3"/>
    </i>
    <i r="1">
      <x v="4"/>
    </i>
    <i r="1">
      <x v="5"/>
    </i>
    <i r="1">
      <x v="6"/>
    </i>
    <i r="1">
      <x v="7"/>
    </i>
    <i r="1">
      <x v="8"/>
    </i>
    <i r="1">
      <x v="9"/>
    </i>
    <i r="1">
      <x v="10"/>
    </i>
    <i r="1">
      <x v="11"/>
    </i>
    <i>
      <x v="1"/>
    </i>
    <i r="1">
      <x/>
    </i>
    <i r="1">
      <x v="1"/>
    </i>
    <i r="1">
      <x v="2"/>
    </i>
    <i r="1">
      <x v="3"/>
    </i>
    <i r="1">
      <x v="4"/>
    </i>
    <i r="1">
      <x v="5"/>
    </i>
    <i r="1">
      <x v="6"/>
    </i>
    <i r="1">
      <x v="7"/>
    </i>
    <i r="1">
      <x v="8"/>
    </i>
    <i r="1">
      <x v="9"/>
    </i>
    <i r="1">
      <x v="10"/>
    </i>
    <i r="1">
      <x v="11"/>
    </i>
    <i t="grand">
      <x/>
    </i>
  </rowItems>
  <colItems count="1">
    <i/>
  </colItems>
  <dataFields count="1">
    <dataField name="Sum of Sales" fld="6" baseField="0" baseItem="0"/>
  </dataFields>
  <chartFormats count="4">
    <chartFormat chart="0" format="0"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0"/>
          </reference>
        </references>
      </pivotArea>
    </chartFormat>
    <chartFormat chart="22" format="0" series="1">
      <pivotArea type="data" outline="0" fieldPosition="0">
        <references count="1">
          <reference field="4294967294" count="1" selected="0">
            <x v="0"/>
          </reference>
        </references>
      </pivotArea>
    </chartFormat>
    <chartFormat chart="2" format="4">
      <pivotArea type="data" outline="0" fieldPosition="0">
        <references count="3">
          <reference field="4294967294" count="1" selected="0">
            <x v="0"/>
          </reference>
          <reference field="8" count="1" selected="0">
            <x v="1"/>
          </reference>
          <reference field="9"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1DD609F-5620-40FD-8E8E-88404ABB6835}"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3:B8" firstHeaderRow="1" firstDataRow="1" firstDataCol="1"/>
  <pivotFields count="11">
    <pivotField numFmtId="14" showAll="0"/>
    <pivotField axis="axisRow" showAll="0" sortType="descending">
      <items count="5">
        <item x="3"/>
        <item x="1"/>
        <item x="0"/>
        <item x="2"/>
        <item t="default"/>
      </items>
      <autoSortScope>
        <pivotArea dataOnly="0" outline="0" fieldPosition="0">
          <references count="1">
            <reference field="4294967294" count="1" selected="0">
              <x v="0"/>
            </reference>
          </references>
        </pivotArea>
      </autoSortScope>
    </pivotField>
    <pivotField showAll="0"/>
    <pivotField showAll="0"/>
    <pivotField showAll="0">
      <items count="3">
        <item x="0"/>
        <item x="1"/>
        <item t="default"/>
      </items>
    </pivotField>
    <pivotField showAll="0"/>
    <pivotField showAll="0"/>
    <pivotField dataField="1" showAll="0"/>
    <pivotField showAll="0">
      <items count="3">
        <item x="0"/>
        <item x="1"/>
        <item t="default"/>
      </items>
    </pivotField>
    <pivotField showAll="0"/>
    <pivotField showAll="0"/>
  </pivotFields>
  <rowFields count="1">
    <field x="1"/>
  </rowFields>
  <rowItems count="5">
    <i>
      <x v="2"/>
    </i>
    <i>
      <x v="1"/>
    </i>
    <i>
      <x/>
    </i>
    <i>
      <x v="3"/>
    </i>
    <i t="grand">
      <x/>
    </i>
  </rowItems>
  <colItems count="1">
    <i/>
  </colItems>
  <dataFields count="1">
    <dataField name="Sum of Profit" fld="7" baseField="0" baseItem="0"/>
  </dataFields>
  <chartFormats count="5">
    <chartFormat chart="12"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 chart="16" format="3">
      <pivotArea type="data" outline="0" fieldPosition="0">
        <references count="2">
          <reference field="4294967294" count="1" selected="0">
            <x v="0"/>
          </reference>
          <reference field="1" count="1" selected="0">
            <x v="1"/>
          </reference>
        </references>
      </pivotArea>
    </chartFormat>
    <chartFormat chart="16" format="4">
      <pivotArea type="data" outline="0" fieldPosition="0">
        <references count="2">
          <reference field="4294967294" count="1" selected="0">
            <x v="0"/>
          </reference>
          <reference field="1" count="1" selected="0">
            <x v="0"/>
          </reference>
        </references>
      </pivotArea>
    </chartFormat>
    <chartFormat chart="16" format="5">
      <pivotArea type="data" outline="0" fieldPosition="0">
        <references count="2">
          <reference field="4294967294" count="1" selected="0">
            <x v="0"/>
          </reference>
          <reference field="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844AC75-A48F-467A-9142-578FD4CF285B}"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6" firstHeaderRow="1" firstDataRow="1" firstDataCol="1"/>
  <pivotFields count="11">
    <pivotField numFmtId="14" showAll="0"/>
    <pivotField showAll="0">
      <items count="5">
        <item x="3"/>
        <item x="1"/>
        <item x="0"/>
        <item x="2"/>
        <item t="default"/>
      </items>
    </pivotField>
    <pivotField showAll="0"/>
    <pivotField showAll="0"/>
    <pivotField axis="axisRow" showAll="0">
      <items count="3">
        <item x="0"/>
        <item x="1"/>
        <item t="default"/>
      </items>
    </pivotField>
    <pivotField showAll="0"/>
    <pivotField showAll="0"/>
    <pivotField showAll="0"/>
    <pivotField showAll="0">
      <items count="3">
        <item x="0"/>
        <item x="1"/>
        <item t="default"/>
      </items>
    </pivotField>
    <pivotField showAll="0"/>
    <pivotField dataField="1" showAll="0"/>
  </pivotFields>
  <rowFields count="1">
    <field x="4"/>
  </rowFields>
  <rowItems count="3">
    <i>
      <x/>
    </i>
    <i>
      <x v="1"/>
    </i>
    <i t="grand">
      <x/>
    </i>
  </rowItems>
  <colItems count="1">
    <i/>
  </colItems>
  <dataFields count="1">
    <dataField name="Average of Profit  %" fld="10" subtotal="average" baseField="4" baseItem="0" numFmtId="10"/>
  </dataFields>
  <chartFormats count="9">
    <chartFormat chart="4"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0"/>
          </reference>
        </references>
      </pivotArea>
    </chartFormat>
    <chartFormat chart="5" format="2">
      <pivotArea type="data" outline="0" fieldPosition="0">
        <references count="2">
          <reference field="4294967294" count="1" selected="0">
            <x v="0"/>
          </reference>
          <reference field="4" count="1" selected="0">
            <x v="0"/>
          </reference>
        </references>
      </pivotArea>
    </chartFormat>
    <chartFormat chart="5" format="3">
      <pivotArea type="data" outline="0" fieldPosition="0">
        <references count="2">
          <reference field="4294967294" count="1" selected="0">
            <x v="0"/>
          </reference>
          <reference field="4" count="1" selected="0">
            <x v="1"/>
          </reference>
        </references>
      </pivotArea>
    </chartFormat>
    <chartFormat chart="6" format="4" series="1">
      <pivotArea type="data" outline="0" fieldPosition="0">
        <references count="1">
          <reference field="4294967294" count="1" selected="0">
            <x v="0"/>
          </reference>
        </references>
      </pivotArea>
    </chartFormat>
    <chartFormat chart="6" format="5">
      <pivotArea type="data" outline="0" fieldPosition="0">
        <references count="2">
          <reference field="4294967294" count="1" selected="0">
            <x v="0"/>
          </reference>
          <reference field="4" count="1" selected="0">
            <x v="0"/>
          </reference>
        </references>
      </pivotArea>
    </chartFormat>
    <chartFormat chart="6" format="6">
      <pivotArea type="data" outline="0" fieldPosition="0">
        <references count="2">
          <reference field="4294967294" count="1" selected="0">
            <x v="0"/>
          </reference>
          <reference field="4" count="1" selected="0">
            <x v="1"/>
          </reference>
        </references>
      </pivotArea>
    </chartFormat>
    <chartFormat chart="4" format="1">
      <pivotArea type="data" outline="0" fieldPosition="0">
        <references count="2">
          <reference field="4294967294" count="1" selected="0">
            <x v="0"/>
          </reference>
          <reference field="4" count="1" selected="0">
            <x v="0"/>
          </reference>
        </references>
      </pivotArea>
    </chartFormat>
    <chartFormat chart="4" format="2">
      <pivotArea type="data" outline="0" fieldPosition="0">
        <references count="2">
          <reference field="4294967294" count="1" selected="0">
            <x v="0"/>
          </reference>
          <reference field="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2781984-50B7-4851-B446-55C77368CA0E}"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B9" firstHeaderRow="1" firstDataRow="1" firstDataCol="1"/>
  <pivotFields count="11">
    <pivotField numFmtId="14" showAll="0"/>
    <pivotField showAll="0">
      <items count="5">
        <item x="3"/>
        <item x="1"/>
        <item x="0"/>
        <item x="2"/>
        <item t="default"/>
      </items>
    </pivotField>
    <pivotField showAll="0"/>
    <pivotField axis="axisRow" showAll="0" measureFilter="1" sortType="ascending">
      <items count="56">
        <item x="29"/>
        <item x="13"/>
        <item x="17"/>
        <item x="2"/>
        <item x="44"/>
        <item x="9"/>
        <item x="47"/>
        <item x="54"/>
        <item x="0"/>
        <item x="1"/>
        <item x="36"/>
        <item x="42"/>
        <item x="22"/>
        <item x="3"/>
        <item x="50"/>
        <item x="32"/>
        <item x="16"/>
        <item x="38"/>
        <item x="40"/>
        <item x="7"/>
        <item x="14"/>
        <item x="53"/>
        <item x="15"/>
        <item x="51"/>
        <item x="37"/>
        <item x="23"/>
        <item x="18"/>
        <item x="48"/>
        <item x="43"/>
        <item x="39"/>
        <item x="5"/>
        <item x="12"/>
        <item x="11"/>
        <item x="33"/>
        <item x="4"/>
        <item x="6"/>
        <item x="46"/>
        <item x="31"/>
        <item x="34"/>
        <item x="30"/>
        <item x="24"/>
        <item x="8"/>
        <item x="28"/>
        <item x="19"/>
        <item x="10"/>
        <item x="27"/>
        <item x="26"/>
        <item x="45"/>
        <item x="35"/>
        <item x="41"/>
        <item x="20"/>
        <item x="52"/>
        <item x="49"/>
        <item x="21"/>
        <item x="25"/>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pivotField showAll="0"/>
    <pivotField showAll="0"/>
    <pivotField showAll="0"/>
  </pivotFields>
  <rowFields count="1">
    <field x="3"/>
  </rowFields>
  <rowItems count="6">
    <i>
      <x v="9"/>
    </i>
    <i>
      <x v="38"/>
    </i>
    <i>
      <x v="8"/>
    </i>
    <i>
      <x v="3"/>
    </i>
    <i>
      <x v="13"/>
    </i>
    <i t="grand">
      <x/>
    </i>
  </rowItems>
  <colItems count="1">
    <i/>
  </colItems>
  <dataFields count="1">
    <dataField name="Sum of Profit" fld="7" baseField="0" baseItem="0"/>
  </dataFields>
  <chartFormats count="9">
    <chartFormat chart="2"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9" format="3">
      <pivotArea type="data" outline="0" fieldPosition="0">
        <references count="2">
          <reference field="4294967294" count="1" selected="0">
            <x v="0"/>
          </reference>
          <reference field="3" count="1" selected="0">
            <x v="8"/>
          </reference>
        </references>
      </pivotArea>
    </chartFormat>
    <chartFormat chart="9" format="4">
      <pivotArea type="data" outline="0" fieldPosition="0">
        <references count="2">
          <reference field="4294967294" count="1" selected="0">
            <x v="0"/>
          </reference>
          <reference field="3" count="1" selected="0">
            <x v="38"/>
          </reference>
        </references>
      </pivotArea>
    </chartFormat>
    <chartFormat chart="9" format="5">
      <pivotArea type="data" outline="0" fieldPosition="0">
        <references count="2">
          <reference field="4294967294" count="1" selected="0">
            <x v="0"/>
          </reference>
          <reference field="3" count="1" selected="0">
            <x v="3"/>
          </reference>
        </references>
      </pivotArea>
    </chartFormat>
    <chartFormat chart="9" format="6">
      <pivotArea type="data" outline="0" fieldPosition="0">
        <references count="2">
          <reference field="4294967294" count="1" selected="0">
            <x v="0"/>
          </reference>
          <reference field="3" count="1" selected="0">
            <x v="13"/>
          </reference>
        </references>
      </pivotArea>
    </chartFormat>
  </chartFormats>
  <pivotTableStyleInfo name="PivotStyleLight16" showRowHeaders="1" showColHeaders="1" showRowStripes="0" showColStripes="0" showLastColumn="1"/>
  <filters count="1">
    <filter fld="3"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2FBF22C5-B743-4F32-A28D-36710F4A7168}" autoFormatId="16" applyNumberFormats="0" applyBorderFormats="0" applyFontFormats="0" applyPatternFormats="0" applyAlignmentFormats="0" applyWidthHeightFormats="0">
  <queryTableRefresh nextId="12">
    <queryTableFields count="11">
      <queryTableField id="1" name="Order Date" tableColumnId="1"/>
      <queryTableField id="2" name="Region" tableColumnId="2"/>
      <queryTableField id="3" name="State" tableColumnId="3"/>
      <queryTableField id="4" name="City" tableColumnId="4"/>
      <queryTableField id="5" name="Category" tableColumnId="5"/>
      <queryTableField id="6" name="Product" tableColumnId="6"/>
      <queryTableField id="7" name="Sales" tableColumnId="7"/>
      <queryTableField id="8" name="Profit" tableColumnId="8"/>
      <queryTableField id="9" name="Year" tableColumnId="9"/>
      <queryTableField id="10" name="Month" tableColumnId="10"/>
      <queryTableField id="11" name="Profit  %" tableColumnId="11"/>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495E27EB-C1A5-46B5-B74F-FD3E3956727C}" sourceName="Region">
  <pivotTables>
    <pivotTable tabId="33" name="PivotTable1"/>
    <pivotTable tabId="37" name="PivotTable3"/>
    <pivotTable tabId="34" name="PivotTable2"/>
    <pivotTable tabId="40" name="PivotTable4"/>
  </pivotTables>
  <data>
    <tabular pivotCacheId="624070145">
      <items count="4">
        <i x="3" s="1"/>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880C93F2-38C7-4E12-A67B-78F8B59A446F}" sourceName="Category">
  <pivotTables>
    <pivotTable tabId="33" name="PivotTable1"/>
    <pivotTable tabId="37" name="PivotTable3"/>
    <pivotTable tabId="34" name="PivotTable2"/>
  </pivotTables>
  <data>
    <tabular pivotCacheId="624070145">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9091C32E-323B-413D-92F4-6438A1A56161}" sourceName="Year">
  <pivotTables>
    <pivotTable tabId="33" name="PivotTable1"/>
    <pivotTable tabId="37" name="PivotTable3"/>
    <pivotTable tabId="34" name="PivotTable2"/>
  </pivotTables>
  <data>
    <tabular pivotCacheId="624070145">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46A1596C-CAEE-4CA5-903A-DD710D731899}" cache="Slicer_Region" caption="Region" columnCount="2" style="SlicerStyleOther1" rowHeight="247650"/>
  <slicer name="Category 1" xr10:uid="{48672FF5-3D40-4151-A1F2-4E5F567901C3}" cache="Slicer_Category" caption="Category" columnCount="2" style="SlicerStyleOther1" rowHeight="247650"/>
  <slicer name="Year 1" xr10:uid="{6D520F53-C3DD-4B3B-9D23-653421932872}" cache="Slicer_Year" caption="Year" columnCount="2" style="SlicerStyleOther1" rowHeight="247650"/>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858D75ED-C92E-4DC0-AB96-FF3FC96F522B}" name="Table7" displayName="Table7" ref="A1:K212" totalsRowShown="0">
  <autoFilter ref="A1:K212" xr:uid="{858D75ED-C92E-4DC0-AB96-FF3FC96F522B}"/>
  <tableColumns count="11">
    <tableColumn id="1" xr3:uid="{C7A75576-B659-410E-BA7E-77874DCD8712}" name="Order_Date" dataDxfId="12" totalsRowDxfId="11"/>
    <tableColumn id="2" xr3:uid="{232E1BF9-1720-40A6-B203-5D5C4B3B424C}" name="Region"/>
    <tableColumn id="3" xr3:uid="{DA1EE9CF-8451-4D9F-ACC1-9D18E4DDAA03}" name="State"/>
    <tableColumn id="4" xr3:uid="{095864A4-2601-4D65-AE8A-37B27A163AD0}" name="City"/>
    <tableColumn id="5" xr3:uid="{43DF013C-F4CC-4F70-9D9F-281A3A9BE16D}" name="Category"/>
    <tableColumn id="6" xr3:uid="{72E48601-34B3-44A3-8D98-3AFF08D60499}" name="Product"/>
    <tableColumn id="7" xr3:uid="{56AF96C9-8F2F-46D6-ACC4-CFFAF4C0FD27}" name="Sales"/>
    <tableColumn id="8" xr3:uid="{982B2299-D5BC-4D35-87EA-B555B92BFCF1}" name="Profit"/>
    <tableColumn id="9" xr3:uid="{0AC16039-3005-4FFE-A4C8-4356443A4552}" name="Year" dataDxfId="10">
      <calculatedColumnFormula>YEAR(Table7[[#This Row],[Order_Date]])</calculatedColumnFormula>
    </tableColumn>
    <tableColumn id="10" xr3:uid="{067352EC-2DA5-45ED-9D20-8EE31AC1A29E}" name="Month" dataDxfId="9">
      <calculatedColumnFormula>TEXT(Table7[[#This Row],[Order_Date]],"mmm")</calculatedColumnFormula>
    </tableColumn>
    <tableColumn id="11" xr3:uid="{05724E00-7901-4F8D-A4C9-982B3B796FE0}" name="Profit Margin" dataDxfId="8">
      <calculatedColumnFormula>Table7[[#This Row],[Profit]]/Table7[[#This Row],[Sales]]</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7492F22A-4B43-4969-A11C-A2733E9FC61F}" name="Table7__2" displayName="Table7__2" ref="A1:K212" tableType="queryTable" totalsRowShown="0">
  <autoFilter ref="A1:K212" xr:uid="{7492F22A-4B43-4969-A11C-A2733E9FC61F}">
    <filterColumn colId="0">
      <filters>
        <dateGroupItem year="2024" dateTimeGrouping="year"/>
      </filters>
    </filterColumn>
  </autoFilter>
  <tableColumns count="11">
    <tableColumn id="1" xr3:uid="{79ABCF67-67BF-4D6E-B342-189316FAAA5D}" uniqueName="1" name="Order Date" queryTableFieldId="1" dataDxfId="7"/>
    <tableColumn id="2" xr3:uid="{FEB66FC9-1E5D-444D-A6D3-3C0A422627D3}" uniqueName="2" name="Region" queryTableFieldId="2" dataDxfId="6"/>
    <tableColumn id="3" xr3:uid="{0098589C-0C20-4192-A64F-F592CB7F55C0}" uniqueName="3" name="State" queryTableFieldId="3" dataDxfId="5"/>
    <tableColumn id="4" xr3:uid="{416905A0-E9E6-4B02-A288-5F93C5ACA6BA}" uniqueName="4" name="City" queryTableFieldId="4" dataDxfId="4"/>
    <tableColumn id="5" xr3:uid="{E9EECD04-FC8D-4BAA-82AB-DC1F033A930D}" uniqueName="5" name="Category" queryTableFieldId="5" dataDxfId="3"/>
    <tableColumn id="6" xr3:uid="{7082208F-B305-4F5C-980B-E07D5732D35F}" uniqueName="6" name="Product" queryTableFieldId="6" dataDxfId="2"/>
    <tableColumn id="7" xr3:uid="{81B110AB-7317-4B65-8D44-6870AA9AE95E}" uniqueName="7" name="Sales" queryTableFieldId="7"/>
    <tableColumn id="8" xr3:uid="{398325E4-6748-4953-A714-800E68A88263}" uniqueName="8" name="Profit" queryTableFieldId="8"/>
    <tableColumn id="9" xr3:uid="{9A076F10-9D6D-4D7C-B4B1-AB0DCAF7416D}" uniqueName="9" name="Year" queryTableFieldId="9"/>
    <tableColumn id="10" xr3:uid="{8613EC00-C758-467F-BFF6-A3B2960C094F}" uniqueName="10" name="Month" queryTableFieldId="10" dataDxfId="1"/>
    <tableColumn id="11" xr3:uid="{D7380321-07C4-4E52-883F-3F684DA51C40}" uniqueName="11" name="Profit  %" queryTableFieldId="11" dataDxfId="0"/>
  </tableColumns>
  <tableStyleInfo name="TableStyleMedium1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7F2218-2E61-48CF-89BB-EB6403E8C1AA}">
  <sheetPr>
    <tabColor theme="8"/>
  </sheetPr>
  <dimension ref="A1:L10"/>
  <sheetViews>
    <sheetView showGridLines="0" tabSelected="1" topLeftCell="A4" zoomScale="68" zoomScaleNormal="85" workbookViewId="0">
      <selection activeCell="O14" sqref="O14"/>
    </sheetView>
  </sheetViews>
  <sheetFormatPr defaultRowHeight="14.4" x14ac:dyDescent="0.3"/>
  <cols>
    <col min="1" max="1" width="2.88671875" customWidth="1"/>
    <col min="2" max="2" width="24.109375" customWidth="1"/>
    <col min="3" max="3" width="6.6640625" customWidth="1"/>
    <col min="4" max="4" width="23.33203125" customWidth="1"/>
    <col min="5" max="5" width="11.5546875" customWidth="1"/>
    <col min="6" max="6" width="25.6640625" customWidth="1"/>
    <col min="7" max="7" width="11.5546875" customWidth="1"/>
    <col min="8" max="8" width="23.33203125" customWidth="1"/>
    <col min="9" max="9" width="11.5546875" customWidth="1"/>
    <col min="10" max="10" width="23.33203125" customWidth="1"/>
    <col min="11" max="11" width="11.5546875" customWidth="1"/>
    <col min="12" max="12" width="20.5546875" customWidth="1"/>
    <col min="13" max="14" width="16.33203125" customWidth="1"/>
    <col min="15" max="15" width="18.6640625" customWidth="1"/>
  </cols>
  <sheetData>
    <row r="1" spans="1:12" s="24" customFormat="1" ht="18.600000000000001" customHeight="1" x14ac:dyDescent="0.3">
      <c r="A1" s="24" t="s">
        <v>124</v>
      </c>
    </row>
    <row r="2" spans="1:12" s="24" customFormat="1" ht="18.600000000000001" customHeight="1" x14ac:dyDescent="0.3"/>
    <row r="3" spans="1:12" ht="28.95" customHeight="1" x14ac:dyDescent="0.3">
      <c r="E3" s="6"/>
      <c r="F3" s="6"/>
      <c r="G3" s="6"/>
      <c r="H3" s="6"/>
      <c r="I3" s="6"/>
      <c r="K3" s="6"/>
    </row>
    <row r="4" spans="1:12" ht="21" x14ac:dyDescent="0.3">
      <c r="B4" s="19" t="s">
        <v>110</v>
      </c>
      <c r="D4" s="18" t="s">
        <v>111</v>
      </c>
      <c r="F4" s="17" t="s">
        <v>112</v>
      </c>
      <c r="H4" s="16" t="s">
        <v>113</v>
      </c>
      <c r="J4" s="21" t="s">
        <v>123</v>
      </c>
      <c r="L4" s="20" t="s">
        <v>114</v>
      </c>
    </row>
    <row r="5" spans="1:12" ht="25.95" customHeight="1" x14ac:dyDescent="0.3">
      <c r="B5" s="12">
        <f>SUM(Table7__2[Sales])</f>
        <v>7132500</v>
      </c>
      <c r="D5" s="13">
        <f>SUM(Table7__2[Profit])</f>
        <v>1063800</v>
      </c>
      <c r="F5" s="9">
        <f>COUNTA(Table7__2[Order Date])</f>
        <v>211</v>
      </c>
      <c r="H5" s="14">
        <f>SUM(Table7__2[Profit])/SUM(Table7__2[Sales])</f>
        <v>0.14914826498422712</v>
      </c>
      <c r="J5" s="22">
        <f>D5/F5</f>
        <v>5041.7061611374411</v>
      </c>
      <c r="L5" s="15">
        <f>SUM(Table7__2[Sales])/COUNTA(Table7__2[Order Date])</f>
        <v>33803.317535545022</v>
      </c>
    </row>
    <row r="6" spans="1:12" ht="6.6" customHeight="1" x14ac:dyDescent="0.3">
      <c r="B6" s="7"/>
      <c r="D6" s="8"/>
      <c r="F6" s="9"/>
      <c r="H6" s="10"/>
      <c r="J6" s="23"/>
      <c r="L6" s="11"/>
    </row>
    <row r="7" spans="1:12" ht="20.399999999999999" customHeight="1" x14ac:dyDescent="0.3"/>
    <row r="10" spans="1:12" ht="25.95" customHeight="1" x14ac:dyDescent="0.3"/>
  </sheetData>
  <sheetProtection algorithmName="SHA-512" hashValue="9k8sYBrhBdH7ZuRBoJkbq5InTkMv+hqcmpA1RLeluWrKfFGhfMcYEmlQWfTw163Icum4ujRfzfRZRrgU6gtbLQ==" saltValue="uS+jPNRirOChrOdys+4xjg==" spinCount="100000" sheet="1" objects="1" scenarios="1"/>
  <mergeCells count="1">
    <mergeCell ref="A1:XFD2"/>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879274-E0BD-49BD-A4D9-4797B5180BD4}">
  <sheetPr>
    <tabColor rgb="FF7030A0"/>
  </sheetPr>
  <dimension ref="A1:K212"/>
  <sheetViews>
    <sheetView workbookViewId="0">
      <selection activeCell="R8" sqref="R8"/>
    </sheetView>
  </sheetViews>
  <sheetFormatPr defaultRowHeight="14.4" x14ac:dyDescent="0.3"/>
  <cols>
    <col min="1" max="1" width="13.88671875" customWidth="1"/>
    <col min="4" max="4" width="15.5546875" customWidth="1"/>
    <col min="5" max="5" width="17" customWidth="1"/>
    <col min="6" max="6" width="9.44140625" customWidth="1"/>
    <col min="7" max="7" width="11" customWidth="1"/>
    <col min="8" max="8" width="10.109375" customWidth="1"/>
    <col min="9" max="9" width="8.88671875" customWidth="1"/>
    <col min="11" max="11" width="16.33203125" customWidth="1"/>
  </cols>
  <sheetData>
    <row r="1" spans="1:11" x14ac:dyDescent="0.3">
      <c r="A1" t="s">
        <v>8</v>
      </c>
      <c r="B1" t="s">
        <v>9</v>
      </c>
      <c r="C1" t="s">
        <v>10</v>
      </c>
      <c r="D1" t="s">
        <v>11</v>
      </c>
      <c r="E1" t="s">
        <v>12</v>
      </c>
      <c r="F1" t="s">
        <v>13</v>
      </c>
      <c r="G1" t="s">
        <v>4</v>
      </c>
      <c r="H1" t="s">
        <v>14</v>
      </c>
      <c r="I1" t="s">
        <v>102</v>
      </c>
      <c r="J1" t="s">
        <v>2</v>
      </c>
      <c r="K1" t="s">
        <v>103</v>
      </c>
    </row>
    <row r="2" spans="1:11" x14ac:dyDescent="0.3">
      <c r="A2" s="3">
        <v>45292</v>
      </c>
      <c r="B2" t="s">
        <v>15</v>
      </c>
      <c r="C2" t="s">
        <v>16</v>
      </c>
      <c r="D2" t="s">
        <v>17</v>
      </c>
      <c r="E2" t="s">
        <v>18</v>
      </c>
      <c r="F2" t="s">
        <v>19</v>
      </c>
      <c r="G2">
        <v>30000</v>
      </c>
      <c r="H2">
        <v>5000</v>
      </c>
      <c r="I2">
        <f>YEAR(Table7[[#This Row],[Order_Date]])</f>
        <v>2024</v>
      </c>
      <c r="J2" t="str">
        <f>TEXT(Table7[[#This Row],[Order_Date]],"mmm")</f>
        <v>Jan</v>
      </c>
      <c r="K2" s="5">
        <f>Table7[[#This Row],[Profit]]/Table7[[#This Row],[Sales]]</f>
        <v>0.16666666666666666</v>
      </c>
    </row>
    <row r="3" spans="1:11" x14ac:dyDescent="0.3">
      <c r="A3" s="3">
        <v>45293</v>
      </c>
      <c r="B3" t="s">
        <v>15</v>
      </c>
      <c r="C3" t="s">
        <v>16</v>
      </c>
      <c r="D3" t="s">
        <v>20</v>
      </c>
      <c r="E3" t="s">
        <v>18</v>
      </c>
      <c r="F3" t="s">
        <v>19</v>
      </c>
      <c r="G3">
        <v>28000</v>
      </c>
      <c r="H3">
        <v>4500</v>
      </c>
      <c r="I3">
        <f>YEAR(Table7[[#This Row],[Order_Date]])</f>
        <v>2024</v>
      </c>
      <c r="J3" t="str">
        <f>TEXT(Table7[[#This Row],[Order_Date]],"mmm")</f>
        <v>Jan</v>
      </c>
      <c r="K3" s="5">
        <f>Table7[[#This Row],[Profit]]/Table7[[#This Row],[Sales]]</f>
        <v>0.16071428571428573</v>
      </c>
    </row>
    <row r="4" spans="1:11" x14ac:dyDescent="0.3">
      <c r="A4" s="3">
        <v>45294</v>
      </c>
      <c r="B4" t="s">
        <v>15</v>
      </c>
      <c r="C4" t="s">
        <v>21</v>
      </c>
      <c r="D4" t="s">
        <v>22</v>
      </c>
      <c r="E4" t="s">
        <v>23</v>
      </c>
      <c r="F4" t="s">
        <v>24</v>
      </c>
      <c r="G4">
        <v>15000</v>
      </c>
      <c r="H4">
        <v>2000</v>
      </c>
      <c r="I4">
        <f>YEAR(Table7[[#This Row],[Order_Date]])</f>
        <v>2024</v>
      </c>
      <c r="J4" t="str">
        <f>TEXT(Table7[[#This Row],[Order_Date]],"mmm")</f>
        <v>Jan</v>
      </c>
      <c r="K4" s="5">
        <f>Table7[[#This Row],[Profit]]/Table7[[#This Row],[Sales]]</f>
        <v>0.13333333333333333</v>
      </c>
    </row>
    <row r="5" spans="1:11" x14ac:dyDescent="0.3">
      <c r="A5" s="3">
        <v>45295</v>
      </c>
      <c r="B5" t="s">
        <v>25</v>
      </c>
      <c r="C5" t="s">
        <v>26</v>
      </c>
      <c r="D5" t="s">
        <v>27</v>
      </c>
      <c r="E5" t="s">
        <v>18</v>
      </c>
      <c r="F5" t="s">
        <v>28</v>
      </c>
      <c r="G5">
        <v>55000</v>
      </c>
      <c r="H5">
        <v>8000</v>
      </c>
      <c r="I5">
        <f>YEAR(Table7[[#This Row],[Order_Date]])</f>
        <v>2024</v>
      </c>
      <c r="J5" t="str">
        <f>TEXT(Table7[[#This Row],[Order_Date]],"mmm")</f>
        <v>Jan</v>
      </c>
      <c r="K5" s="5">
        <f>Table7[[#This Row],[Profit]]/Table7[[#This Row],[Sales]]</f>
        <v>0.14545454545454545</v>
      </c>
    </row>
    <row r="6" spans="1:11" x14ac:dyDescent="0.3">
      <c r="A6" s="3">
        <v>45296</v>
      </c>
      <c r="B6" t="s">
        <v>29</v>
      </c>
      <c r="C6" t="s">
        <v>30</v>
      </c>
      <c r="D6" t="s">
        <v>31</v>
      </c>
      <c r="E6" t="s">
        <v>23</v>
      </c>
      <c r="F6" t="s">
        <v>32</v>
      </c>
      <c r="G6">
        <v>20000</v>
      </c>
      <c r="H6">
        <v>3000</v>
      </c>
      <c r="I6">
        <f>YEAR(Table7[[#This Row],[Order_Date]])</f>
        <v>2024</v>
      </c>
      <c r="J6" t="str">
        <f>TEXT(Table7[[#This Row],[Order_Date]],"mmm")</f>
        <v>Jan</v>
      </c>
      <c r="K6" s="5">
        <f>Table7[[#This Row],[Profit]]/Table7[[#This Row],[Sales]]</f>
        <v>0.15</v>
      </c>
    </row>
    <row r="7" spans="1:11" x14ac:dyDescent="0.3">
      <c r="A7" s="3">
        <v>45297</v>
      </c>
      <c r="B7" t="s">
        <v>33</v>
      </c>
      <c r="C7" t="s">
        <v>34</v>
      </c>
      <c r="D7" t="s">
        <v>35</v>
      </c>
      <c r="E7" t="s">
        <v>18</v>
      </c>
      <c r="F7" t="s">
        <v>36</v>
      </c>
      <c r="G7">
        <v>40000</v>
      </c>
      <c r="H7">
        <v>6000</v>
      </c>
      <c r="I7">
        <f>YEAR(Table7[[#This Row],[Order_Date]])</f>
        <v>2024</v>
      </c>
      <c r="J7" t="str">
        <f>TEXT(Table7[[#This Row],[Order_Date]],"mmm")</f>
        <v>Jan</v>
      </c>
      <c r="K7" s="5">
        <f>Table7[[#This Row],[Profit]]/Table7[[#This Row],[Sales]]</f>
        <v>0.15</v>
      </c>
    </row>
    <row r="8" spans="1:11" x14ac:dyDescent="0.3">
      <c r="A8" s="3">
        <v>45298</v>
      </c>
      <c r="B8" t="s">
        <v>15</v>
      </c>
      <c r="C8" t="s">
        <v>21</v>
      </c>
      <c r="D8" t="s">
        <v>37</v>
      </c>
      <c r="E8" t="s">
        <v>18</v>
      </c>
      <c r="F8" t="s">
        <v>38</v>
      </c>
      <c r="G8">
        <v>8000</v>
      </c>
      <c r="H8">
        <v>1500</v>
      </c>
      <c r="I8">
        <f>YEAR(Table7[[#This Row],[Order_Date]])</f>
        <v>2024</v>
      </c>
      <c r="J8" t="str">
        <f>TEXT(Table7[[#This Row],[Order_Date]],"mmm")</f>
        <v>Jan</v>
      </c>
      <c r="K8" s="5">
        <f>Table7[[#This Row],[Profit]]/Table7[[#This Row],[Sales]]</f>
        <v>0.1875</v>
      </c>
    </row>
    <row r="9" spans="1:11" x14ac:dyDescent="0.3">
      <c r="A9" s="3">
        <v>45299</v>
      </c>
      <c r="B9" t="s">
        <v>25</v>
      </c>
      <c r="C9" t="s">
        <v>3</v>
      </c>
      <c r="D9" t="s">
        <v>39</v>
      </c>
      <c r="E9" t="s">
        <v>23</v>
      </c>
      <c r="F9" t="s">
        <v>40</v>
      </c>
      <c r="G9">
        <v>60000</v>
      </c>
      <c r="H9">
        <v>9000</v>
      </c>
      <c r="I9">
        <f>YEAR(Table7[[#This Row],[Order_Date]])</f>
        <v>2024</v>
      </c>
      <c r="J9" t="str">
        <f>TEXT(Table7[[#This Row],[Order_Date]],"mmm")</f>
        <v>Jan</v>
      </c>
      <c r="K9" s="5">
        <f>Table7[[#This Row],[Profit]]/Table7[[#This Row],[Sales]]</f>
        <v>0.15</v>
      </c>
    </row>
    <row r="10" spans="1:11" x14ac:dyDescent="0.3">
      <c r="A10" s="3">
        <v>45300</v>
      </c>
      <c r="B10" t="s">
        <v>29</v>
      </c>
      <c r="C10" t="s">
        <v>30</v>
      </c>
      <c r="D10" t="s">
        <v>41</v>
      </c>
      <c r="E10" t="s">
        <v>18</v>
      </c>
      <c r="F10" t="s">
        <v>28</v>
      </c>
      <c r="G10">
        <v>52000</v>
      </c>
      <c r="H10">
        <v>7500</v>
      </c>
      <c r="I10">
        <f>YEAR(Table7[[#This Row],[Order_Date]])</f>
        <v>2024</v>
      </c>
      <c r="J10" t="str">
        <f>TEXT(Table7[[#This Row],[Order_Date]],"mmm")</f>
        <v>Jan</v>
      </c>
      <c r="K10" s="5">
        <f>Table7[[#This Row],[Profit]]/Table7[[#This Row],[Sales]]</f>
        <v>0.14423076923076922</v>
      </c>
    </row>
    <row r="11" spans="1:11" x14ac:dyDescent="0.3">
      <c r="A11" s="3">
        <v>45301</v>
      </c>
      <c r="B11" t="s">
        <v>33</v>
      </c>
      <c r="C11" t="s">
        <v>42</v>
      </c>
      <c r="D11" t="s">
        <v>43</v>
      </c>
      <c r="E11" t="s">
        <v>23</v>
      </c>
      <c r="F11" t="s">
        <v>44</v>
      </c>
      <c r="G11">
        <v>30000</v>
      </c>
      <c r="H11">
        <v>4000</v>
      </c>
      <c r="I11">
        <f>YEAR(Table7[[#This Row],[Order_Date]])</f>
        <v>2024</v>
      </c>
      <c r="J11" t="str">
        <f>TEXT(Table7[[#This Row],[Order_Date]],"mmm")</f>
        <v>Jan</v>
      </c>
      <c r="K11" s="5">
        <f>Table7[[#This Row],[Profit]]/Table7[[#This Row],[Sales]]</f>
        <v>0.13333333333333333</v>
      </c>
    </row>
    <row r="12" spans="1:11" x14ac:dyDescent="0.3">
      <c r="A12" s="3">
        <v>45302</v>
      </c>
      <c r="B12" t="s">
        <v>15</v>
      </c>
      <c r="C12" t="s">
        <v>16</v>
      </c>
      <c r="D12" t="s">
        <v>45</v>
      </c>
      <c r="E12" t="s">
        <v>18</v>
      </c>
      <c r="F12" t="s">
        <v>19</v>
      </c>
      <c r="G12">
        <v>25000</v>
      </c>
      <c r="H12">
        <v>4200</v>
      </c>
      <c r="I12">
        <f>YEAR(Table7[[#This Row],[Order_Date]])</f>
        <v>2024</v>
      </c>
      <c r="J12" t="str">
        <f>TEXT(Table7[[#This Row],[Order_Date]],"mmm")</f>
        <v>Jan</v>
      </c>
      <c r="K12" s="5">
        <f>Table7[[#This Row],[Profit]]/Table7[[#This Row],[Sales]]</f>
        <v>0.16800000000000001</v>
      </c>
    </row>
    <row r="13" spans="1:11" x14ac:dyDescent="0.3">
      <c r="A13" s="3">
        <v>45303</v>
      </c>
      <c r="B13" t="s">
        <v>15</v>
      </c>
      <c r="C13" t="s">
        <v>16</v>
      </c>
      <c r="D13" t="s">
        <v>46</v>
      </c>
      <c r="E13" t="s">
        <v>23</v>
      </c>
      <c r="F13" t="s">
        <v>32</v>
      </c>
      <c r="G13">
        <v>18000</v>
      </c>
      <c r="H13">
        <v>2600</v>
      </c>
      <c r="I13">
        <f>YEAR(Table7[[#This Row],[Order_Date]])</f>
        <v>2024</v>
      </c>
      <c r="J13" t="str">
        <f>TEXT(Table7[[#This Row],[Order_Date]],"mmm")</f>
        <v>Jan</v>
      </c>
      <c r="K13" s="5">
        <f>Table7[[#This Row],[Profit]]/Table7[[#This Row],[Sales]]</f>
        <v>0.14444444444444443</v>
      </c>
    </row>
    <row r="14" spans="1:11" x14ac:dyDescent="0.3">
      <c r="A14" s="3">
        <v>45304</v>
      </c>
      <c r="B14" t="s">
        <v>25</v>
      </c>
      <c r="C14" t="s">
        <v>47</v>
      </c>
      <c r="D14" t="s">
        <v>48</v>
      </c>
      <c r="E14" t="s">
        <v>18</v>
      </c>
      <c r="F14" t="s">
        <v>36</v>
      </c>
      <c r="G14">
        <v>38000</v>
      </c>
      <c r="H14">
        <v>5600</v>
      </c>
      <c r="I14">
        <f>YEAR(Table7[[#This Row],[Order_Date]])</f>
        <v>2024</v>
      </c>
      <c r="J14" t="str">
        <f>TEXT(Table7[[#This Row],[Order_Date]],"mmm")</f>
        <v>Jan</v>
      </c>
      <c r="K14" s="5">
        <f>Table7[[#This Row],[Profit]]/Table7[[#This Row],[Sales]]</f>
        <v>0.14736842105263157</v>
      </c>
    </row>
    <row r="15" spans="1:11" x14ac:dyDescent="0.3">
      <c r="A15" s="3">
        <v>45305</v>
      </c>
      <c r="B15" t="s">
        <v>29</v>
      </c>
      <c r="C15" t="s">
        <v>49</v>
      </c>
      <c r="D15" t="s">
        <v>50</v>
      </c>
      <c r="E15" t="s">
        <v>23</v>
      </c>
      <c r="F15" t="s">
        <v>24</v>
      </c>
      <c r="G15">
        <v>16000</v>
      </c>
      <c r="H15">
        <v>2200</v>
      </c>
      <c r="I15">
        <f>YEAR(Table7[[#This Row],[Order_Date]])</f>
        <v>2024</v>
      </c>
      <c r="J15" t="str">
        <f>TEXT(Table7[[#This Row],[Order_Date]],"mmm")</f>
        <v>Jan</v>
      </c>
      <c r="K15" s="5">
        <f>Table7[[#This Row],[Profit]]/Table7[[#This Row],[Sales]]</f>
        <v>0.13750000000000001</v>
      </c>
    </row>
    <row r="16" spans="1:11" x14ac:dyDescent="0.3">
      <c r="A16" s="3">
        <v>45306</v>
      </c>
      <c r="B16" t="s">
        <v>33</v>
      </c>
      <c r="C16" t="s">
        <v>51</v>
      </c>
      <c r="D16" t="s">
        <v>52</v>
      </c>
      <c r="E16" t="s">
        <v>18</v>
      </c>
      <c r="F16" t="s">
        <v>28</v>
      </c>
      <c r="G16">
        <v>50000</v>
      </c>
      <c r="H16">
        <v>7200</v>
      </c>
      <c r="I16">
        <f>YEAR(Table7[[#This Row],[Order_Date]])</f>
        <v>2024</v>
      </c>
      <c r="J16" t="str">
        <f>TEXT(Table7[[#This Row],[Order_Date]],"mmm")</f>
        <v>Jan</v>
      </c>
      <c r="K16" s="5">
        <f>Table7[[#This Row],[Profit]]/Table7[[#This Row],[Sales]]</f>
        <v>0.14399999999999999</v>
      </c>
    </row>
    <row r="17" spans="1:11" x14ac:dyDescent="0.3">
      <c r="A17" s="3">
        <v>45307</v>
      </c>
      <c r="B17" t="s">
        <v>15</v>
      </c>
      <c r="C17" t="s">
        <v>21</v>
      </c>
      <c r="D17" t="s">
        <v>53</v>
      </c>
      <c r="E17" t="s">
        <v>18</v>
      </c>
      <c r="F17" t="s">
        <v>19</v>
      </c>
      <c r="G17">
        <v>27000</v>
      </c>
      <c r="H17">
        <v>4300</v>
      </c>
      <c r="I17">
        <f>YEAR(Table7[[#This Row],[Order_Date]])</f>
        <v>2024</v>
      </c>
      <c r="J17" t="str">
        <f>TEXT(Table7[[#This Row],[Order_Date]],"mmm")</f>
        <v>Jan</v>
      </c>
      <c r="K17" s="5">
        <f>Table7[[#This Row],[Profit]]/Table7[[#This Row],[Sales]]</f>
        <v>0.15925925925925927</v>
      </c>
    </row>
    <row r="18" spans="1:11" x14ac:dyDescent="0.3">
      <c r="A18" s="3">
        <v>45308</v>
      </c>
      <c r="B18" t="s">
        <v>15</v>
      </c>
      <c r="C18" t="s">
        <v>16</v>
      </c>
      <c r="D18" t="s">
        <v>54</v>
      </c>
      <c r="E18" t="s">
        <v>23</v>
      </c>
      <c r="F18" t="s">
        <v>44</v>
      </c>
      <c r="G18">
        <v>32000</v>
      </c>
      <c r="H18">
        <v>4500</v>
      </c>
      <c r="I18">
        <f>YEAR(Table7[[#This Row],[Order_Date]])</f>
        <v>2024</v>
      </c>
      <c r="J18" t="str">
        <f>TEXT(Table7[[#This Row],[Order_Date]],"mmm")</f>
        <v>Jan</v>
      </c>
      <c r="K18" s="5">
        <f>Table7[[#This Row],[Profit]]/Table7[[#This Row],[Sales]]</f>
        <v>0.140625</v>
      </c>
    </row>
    <row r="19" spans="1:11" x14ac:dyDescent="0.3">
      <c r="A19" s="3">
        <v>45309</v>
      </c>
      <c r="B19" t="s">
        <v>25</v>
      </c>
      <c r="C19" t="s">
        <v>55</v>
      </c>
      <c r="D19" t="s">
        <v>56</v>
      </c>
      <c r="E19" t="s">
        <v>18</v>
      </c>
      <c r="F19" t="s">
        <v>36</v>
      </c>
      <c r="G19">
        <v>41000</v>
      </c>
      <c r="H19">
        <v>6100</v>
      </c>
      <c r="I19">
        <f>YEAR(Table7[[#This Row],[Order_Date]])</f>
        <v>2024</v>
      </c>
      <c r="J19" t="str">
        <f>TEXT(Table7[[#This Row],[Order_Date]],"mmm")</f>
        <v>Jan</v>
      </c>
      <c r="K19" s="5">
        <f>Table7[[#This Row],[Profit]]/Table7[[#This Row],[Sales]]</f>
        <v>0.14878048780487804</v>
      </c>
    </row>
    <row r="20" spans="1:11" x14ac:dyDescent="0.3">
      <c r="A20" s="3">
        <v>45310</v>
      </c>
      <c r="B20" t="s">
        <v>29</v>
      </c>
      <c r="C20" t="s">
        <v>57</v>
      </c>
      <c r="D20" t="s">
        <v>58</v>
      </c>
      <c r="E20" t="s">
        <v>23</v>
      </c>
      <c r="F20" t="s">
        <v>40</v>
      </c>
      <c r="G20">
        <v>58000</v>
      </c>
      <c r="H20">
        <v>8500</v>
      </c>
      <c r="I20">
        <f>YEAR(Table7[[#This Row],[Order_Date]])</f>
        <v>2024</v>
      </c>
      <c r="J20" t="str">
        <f>TEXT(Table7[[#This Row],[Order_Date]],"mmm")</f>
        <v>Jan</v>
      </c>
      <c r="K20" s="5">
        <f>Table7[[#This Row],[Profit]]/Table7[[#This Row],[Sales]]</f>
        <v>0.14655172413793102</v>
      </c>
    </row>
    <row r="21" spans="1:11" x14ac:dyDescent="0.3">
      <c r="A21" s="3">
        <v>45311</v>
      </c>
      <c r="B21" t="s">
        <v>33</v>
      </c>
      <c r="C21" t="s">
        <v>59</v>
      </c>
      <c r="D21" t="s">
        <v>60</v>
      </c>
      <c r="E21" t="s">
        <v>18</v>
      </c>
      <c r="F21" t="s">
        <v>19</v>
      </c>
      <c r="G21">
        <v>26000</v>
      </c>
      <c r="H21">
        <v>3900</v>
      </c>
      <c r="I21">
        <f>YEAR(Table7[[#This Row],[Order_Date]])</f>
        <v>2024</v>
      </c>
      <c r="J21" t="str">
        <f>TEXT(Table7[[#This Row],[Order_Date]],"mmm")</f>
        <v>Jan</v>
      </c>
      <c r="K21" s="5">
        <f>Table7[[#This Row],[Profit]]/Table7[[#This Row],[Sales]]</f>
        <v>0.15</v>
      </c>
    </row>
    <row r="22" spans="1:11" x14ac:dyDescent="0.3">
      <c r="A22" s="3">
        <v>45312</v>
      </c>
      <c r="B22" t="s">
        <v>15</v>
      </c>
      <c r="C22" t="s">
        <v>16</v>
      </c>
      <c r="D22" t="s">
        <v>61</v>
      </c>
      <c r="E22" t="s">
        <v>18</v>
      </c>
      <c r="F22" t="s">
        <v>38</v>
      </c>
      <c r="G22">
        <v>9000</v>
      </c>
      <c r="H22">
        <v>1700</v>
      </c>
      <c r="I22">
        <f>YEAR(Table7[[#This Row],[Order_Date]])</f>
        <v>2024</v>
      </c>
      <c r="J22" t="str">
        <f>TEXT(Table7[[#This Row],[Order_Date]],"mmm")</f>
        <v>Jan</v>
      </c>
      <c r="K22" s="5">
        <f>Table7[[#This Row],[Profit]]/Table7[[#This Row],[Sales]]</f>
        <v>0.18888888888888888</v>
      </c>
    </row>
    <row r="23" spans="1:11" x14ac:dyDescent="0.3">
      <c r="A23" s="3">
        <v>45313</v>
      </c>
      <c r="B23" t="s">
        <v>15</v>
      </c>
      <c r="C23" t="s">
        <v>21</v>
      </c>
      <c r="D23" t="s">
        <v>62</v>
      </c>
      <c r="E23" t="s">
        <v>23</v>
      </c>
      <c r="F23" t="s">
        <v>24</v>
      </c>
      <c r="G23">
        <v>14000</v>
      </c>
      <c r="H23">
        <v>2100</v>
      </c>
      <c r="I23">
        <f>YEAR(Table7[[#This Row],[Order_Date]])</f>
        <v>2024</v>
      </c>
      <c r="J23" t="str">
        <f>TEXT(Table7[[#This Row],[Order_Date]],"mmm")</f>
        <v>Jan</v>
      </c>
      <c r="K23" s="5">
        <f>Table7[[#This Row],[Profit]]/Table7[[#This Row],[Sales]]</f>
        <v>0.15</v>
      </c>
    </row>
    <row r="24" spans="1:11" x14ac:dyDescent="0.3">
      <c r="A24" s="3">
        <v>45314</v>
      </c>
      <c r="B24" t="s">
        <v>25</v>
      </c>
      <c r="C24" t="s">
        <v>63</v>
      </c>
      <c r="D24" t="s">
        <v>64</v>
      </c>
      <c r="E24" t="s">
        <v>18</v>
      </c>
      <c r="F24" t="s">
        <v>28</v>
      </c>
      <c r="G24">
        <v>54000</v>
      </c>
      <c r="H24">
        <v>7900</v>
      </c>
      <c r="I24">
        <f>YEAR(Table7[[#This Row],[Order_Date]])</f>
        <v>2024</v>
      </c>
      <c r="J24" t="str">
        <f>TEXT(Table7[[#This Row],[Order_Date]],"mmm")</f>
        <v>Jan</v>
      </c>
      <c r="K24" s="5">
        <f>Table7[[#This Row],[Profit]]/Table7[[#This Row],[Sales]]</f>
        <v>0.14629629629629629</v>
      </c>
    </row>
    <row r="25" spans="1:11" x14ac:dyDescent="0.3">
      <c r="A25" s="3">
        <v>45315</v>
      </c>
      <c r="B25" t="s">
        <v>29</v>
      </c>
      <c r="C25" t="s">
        <v>65</v>
      </c>
      <c r="D25" t="s">
        <v>66</v>
      </c>
      <c r="E25" t="s">
        <v>23</v>
      </c>
      <c r="F25" t="s">
        <v>32</v>
      </c>
      <c r="G25">
        <v>19000</v>
      </c>
      <c r="H25">
        <v>2800</v>
      </c>
      <c r="I25">
        <f>YEAR(Table7[[#This Row],[Order_Date]])</f>
        <v>2024</v>
      </c>
      <c r="J25" t="str">
        <f>TEXT(Table7[[#This Row],[Order_Date]],"mmm")</f>
        <v>Jan</v>
      </c>
      <c r="K25" s="5">
        <f>Table7[[#This Row],[Profit]]/Table7[[#This Row],[Sales]]</f>
        <v>0.14736842105263157</v>
      </c>
    </row>
    <row r="26" spans="1:11" x14ac:dyDescent="0.3">
      <c r="A26" s="3">
        <v>45316</v>
      </c>
      <c r="B26" t="s">
        <v>33</v>
      </c>
      <c r="C26" t="s">
        <v>67</v>
      </c>
      <c r="D26" t="s">
        <v>68</v>
      </c>
      <c r="E26" t="s">
        <v>18</v>
      </c>
      <c r="F26" t="s">
        <v>36</v>
      </c>
      <c r="G26">
        <v>36000</v>
      </c>
      <c r="H26">
        <v>5400</v>
      </c>
      <c r="I26">
        <f>YEAR(Table7[[#This Row],[Order_Date]])</f>
        <v>2024</v>
      </c>
      <c r="J26" t="str">
        <f>TEXT(Table7[[#This Row],[Order_Date]],"mmm")</f>
        <v>Jan</v>
      </c>
      <c r="K26" s="5">
        <f>Table7[[#This Row],[Profit]]/Table7[[#This Row],[Sales]]</f>
        <v>0.15</v>
      </c>
    </row>
    <row r="27" spans="1:11" x14ac:dyDescent="0.3">
      <c r="A27" s="3">
        <v>45317</v>
      </c>
      <c r="B27" t="s">
        <v>15</v>
      </c>
      <c r="C27" t="s">
        <v>16</v>
      </c>
      <c r="D27" t="s">
        <v>69</v>
      </c>
      <c r="E27" t="s">
        <v>18</v>
      </c>
      <c r="F27" t="s">
        <v>19</v>
      </c>
      <c r="G27">
        <v>29000</v>
      </c>
      <c r="H27">
        <v>4600</v>
      </c>
      <c r="I27">
        <f>YEAR(Table7[[#This Row],[Order_Date]])</f>
        <v>2024</v>
      </c>
      <c r="J27" t="str">
        <f>TEXT(Table7[[#This Row],[Order_Date]],"mmm")</f>
        <v>Jan</v>
      </c>
      <c r="K27" s="5">
        <f>Table7[[#This Row],[Profit]]/Table7[[#This Row],[Sales]]</f>
        <v>0.15862068965517243</v>
      </c>
    </row>
    <row r="28" spans="1:11" x14ac:dyDescent="0.3">
      <c r="A28" s="3">
        <v>45318</v>
      </c>
      <c r="B28" t="s">
        <v>15</v>
      </c>
      <c r="C28" t="s">
        <v>21</v>
      </c>
      <c r="D28" t="s">
        <v>70</v>
      </c>
      <c r="E28" t="s">
        <v>23</v>
      </c>
      <c r="F28" t="s">
        <v>44</v>
      </c>
      <c r="G28">
        <v>31000</v>
      </c>
      <c r="H28">
        <v>4400</v>
      </c>
      <c r="I28">
        <f>YEAR(Table7[[#This Row],[Order_Date]])</f>
        <v>2024</v>
      </c>
      <c r="J28" t="str">
        <f>TEXT(Table7[[#This Row],[Order_Date]],"mmm")</f>
        <v>Jan</v>
      </c>
      <c r="K28" s="5">
        <f>Table7[[#This Row],[Profit]]/Table7[[#This Row],[Sales]]</f>
        <v>0.14193548387096774</v>
      </c>
    </row>
    <row r="29" spans="1:11" x14ac:dyDescent="0.3">
      <c r="A29" s="3">
        <v>45319</v>
      </c>
      <c r="B29" t="s">
        <v>25</v>
      </c>
      <c r="C29" t="s">
        <v>71</v>
      </c>
      <c r="D29" t="s">
        <v>72</v>
      </c>
      <c r="E29" t="s">
        <v>18</v>
      </c>
      <c r="F29" t="s">
        <v>28</v>
      </c>
      <c r="G29">
        <v>53000</v>
      </c>
      <c r="H29">
        <v>7800</v>
      </c>
      <c r="I29">
        <f>YEAR(Table7[[#This Row],[Order_Date]])</f>
        <v>2024</v>
      </c>
      <c r="J29" t="str">
        <f>TEXT(Table7[[#This Row],[Order_Date]],"mmm")</f>
        <v>Jan</v>
      </c>
      <c r="K29" s="5">
        <f>Table7[[#This Row],[Profit]]/Table7[[#This Row],[Sales]]</f>
        <v>0.14716981132075471</v>
      </c>
    </row>
    <row r="30" spans="1:11" x14ac:dyDescent="0.3">
      <c r="A30" s="3">
        <v>45320</v>
      </c>
      <c r="B30" t="s">
        <v>29</v>
      </c>
      <c r="C30" t="s">
        <v>73</v>
      </c>
      <c r="D30" t="s">
        <v>74</v>
      </c>
      <c r="E30" t="s">
        <v>23</v>
      </c>
      <c r="F30" t="s">
        <v>24</v>
      </c>
      <c r="G30">
        <v>15500</v>
      </c>
      <c r="H30">
        <v>2300</v>
      </c>
      <c r="I30">
        <f>YEAR(Table7[[#This Row],[Order_Date]])</f>
        <v>2024</v>
      </c>
      <c r="J30" t="str">
        <f>TEXT(Table7[[#This Row],[Order_Date]],"mmm")</f>
        <v>Jan</v>
      </c>
      <c r="K30" s="5">
        <f>Table7[[#This Row],[Profit]]/Table7[[#This Row],[Sales]]</f>
        <v>0.14838709677419354</v>
      </c>
    </row>
    <row r="31" spans="1:11" x14ac:dyDescent="0.3">
      <c r="A31" s="3">
        <v>45321</v>
      </c>
      <c r="B31" t="s">
        <v>33</v>
      </c>
      <c r="C31" t="s">
        <v>75</v>
      </c>
      <c r="D31" t="s">
        <v>76</v>
      </c>
      <c r="E31" t="s">
        <v>18</v>
      </c>
      <c r="F31" t="s">
        <v>19</v>
      </c>
      <c r="G31">
        <v>24000</v>
      </c>
      <c r="H31">
        <v>3800</v>
      </c>
      <c r="I31">
        <f>YEAR(Table7[[#This Row],[Order_Date]])</f>
        <v>2024</v>
      </c>
      <c r="J31" t="str">
        <f>TEXT(Table7[[#This Row],[Order_Date]],"mmm")</f>
        <v>Jan</v>
      </c>
      <c r="K31" s="5">
        <f>Table7[[#This Row],[Profit]]/Table7[[#This Row],[Sales]]</f>
        <v>0.15833333333333333</v>
      </c>
    </row>
    <row r="32" spans="1:11" x14ac:dyDescent="0.3">
      <c r="A32" s="3">
        <v>45322</v>
      </c>
      <c r="B32" t="s">
        <v>15</v>
      </c>
      <c r="C32" t="s">
        <v>16</v>
      </c>
      <c r="D32" t="s">
        <v>77</v>
      </c>
      <c r="E32" t="s">
        <v>18</v>
      </c>
      <c r="F32" t="s">
        <v>36</v>
      </c>
      <c r="G32">
        <v>42000</v>
      </c>
      <c r="H32">
        <v>6300</v>
      </c>
      <c r="I32">
        <f>YEAR(Table7[[#This Row],[Order_Date]])</f>
        <v>2024</v>
      </c>
      <c r="J32" t="str">
        <f>TEXT(Table7[[#This Row],[Order_Date]],"mmm")</f>
        <v>Jan</v>
      </c>
      <c r="K32" s="5">
        <f>Table7[[#This Row],[Profit]]/Table7[[#This Row],[Sales]]</f>
        <v>0.15</v>
      </c>
    </row>
    <row r="33" spans="1:11" x14ac:dyDescent="0.3">
      <c r="A33" s="3">
        <v>45323</v>
      </c>
      <c r="B33" t="s">
        <v>15</v>
      </c>
      <c r="C33" t="s">
        <v>21</v>
      </c>
      <c r="D33" t="s">
        <v>22</v>
      </c>
      <c r="E33" t="s">
        <v>23</v>
      </c>
      <c r="F33" t="s">
        <v>40</v>
      </c>
      <c r="G33">
        <v>62000</v>
      </c>
      <c r="H33">
        <v>9200</v>
      </c>
      <c r="I33">
        <f>YEAR(Table7[[#This Row],[Order_Date]])</f>
        <v>2024</v>
      </c>
      <c r="J33" t="str">
        <f>TEXT(Table7[[#This Row],[Order_Date]],"mmm")</f>
        <v>Feb</v>
      </c>
      <c r="K33" s="5">
        <f>Table7[[#This Row],[Profit]]/Table7[[#This Row],[Sales]]</f>
        <v>0.14838709677419354</v>
      </c>
    </row>
    <row r="34" spans="1:11" x14ac:dyDescent="0.3">
      <c r="A34" s="3">
        <v>45324</v>
      </c>
      <c r="B34" t="s">
        <v>25</v>
      </c>
      <c r="C34" t="s">
        <v>26</v>
      </c>
      <c r="D34" t="s">
        <v>27</v>
      </c>
      <c r="E34" t="s">
        <v>18</v>
      </c>
      <c r="F34" t="s">
        <v>28</v>
      </c>
      <c r="G34">
        <v>56000</v>
      </c>
      <c r="H34">
        <v>8100</v>
      </c>
      <c r="I34">
        <f>YEAR(Table7[[#This Row],[Order_Date]])</f>
        <v>2024</v>
      </c>
      <c r="J34" t="str">
        <f>TEXT(Table7[[#This Row],[Order_Date]],"mmm")</f>
        <v>Feb</v>
      </c>
      <c r="K34" s="5">
        <f>Table7[[#This Row],[Profit]]/Table7[[#This Row],[Sales]]</f>
        <v>0.14464285714285716</v>
      </c>
    </row>
    <row r="35" spans="1:11" x14ac:dyDescent="0.3">
      <c r="A35" s="3">
        <v>45325</v>
      </c>
      <c r="B35" t="s">
        <v>29</v>
      </c>
      <c r="C35" t="s">
        <v>30</v>
      </c>
      <c r="D35" t="s">
        <v>78</v>
      </c>
      <c r="E35" t="s">
        <v>23</v>
      </c>
      <c r="F35" t="s">
        <v>32</v>
      </c>
      <c r="G35">
        <v>21000</v>
      </c>
      <c r="H35">
        <v>3100</v>
      </c>
      <c r="I35">
        <f>YEAR(Table7[[#This Row],[Order_Date]])</f>
        <v>2024</v>
      </c>
      <c r="J35" t="str">
        <f>TEXT(Table7[[#This Row],[Order_Date]],"mmm")</f>
        <v>Feb</v>
      </c>
      <c r="K35" s="5">
        <f>Table7[[#This Row],[Profit]]/Table7[[#This Row],[Sales]]</f>
        <v>0.14761904761904762</v>
      </c>
    </row>
    <row r="36" spans="1:11" x14ac:dyDescent="0.3">
      <c r="A36" s="3">
        <v>45326</v>
      </c>
      <c r="B36" t="s">
        <v>33</v>
      </c>
      <c r="C36" t="s">
        <v>34</v>
      </c>
      <c r="D36" t="s">
        <v>79</v>
      </c>
      <c r="E36" t="s">
        <v>18</v>
      </c>
      <c r="F36" t="s">
        <v>19</v>
      </c>
      <c r="G36">
        <v>27000</v>
      </c>
      <c r="H36">
        <v>4100</v>
      </c>
      <c r="I36">
        <f>YEAR(Table7[[#This Row],[Order_Date]])</f>
        <v>2024</v>
      </c>
      <c r="J36" t="str">
        <f>TEXT(Table7[[#This Row],[Order_Date]],"mmm")</f>
        <v>Feb</v>
      </c>
      <c r="K36" s="5">
        <f>Table7[[#This Row],[Profit]]/Table7[[#This Row],[Sales]]</f>
        <v>0.15185185185185185</v>
      </c>
    </row>
    <row r="37" spans="1:11" x14ac:dyDescent="0.3">
      <c r="A37" s="3">
        <v>45327</v>
      </c>
      <c r="B37" t="s">
        <v>15</v>
      </c>
      <c r="C37" t="s">
        <v>16</v>
      </c>
      <c r="D37" t="s">
        <v>17</v>
      </c>
      <c r="E37" t="s">
        <v>18</v>
      </c>
      <c r="F37" t="s">
        <v>19</v>
      </c>
      <c r="G37">
        <v>31000</v>
      </c>
      <c r="H37">
        <v>5200</v>
      </c>
      <c r="I37">
        <f>YEAR(Table7[[#This Row],[Order_Date]])</f>
        <v>2024</v>
      </c>
      <c r="J37" t="str">
        <f>TEXT(Table7[[#This Row],[Order_Date]],"mmm")</f>
        <v>Feb</v>
      </c>
      <c r="K37" s="5">
        <f>Table7[[#This Row],[Profit]]/Table7[[#This Row],[Sales]]</f>
        <v>0.16774193548387098</v>
      </c>
    </row>
    <row r="38" spans="1:11" x14ac:dyDescent="0.3">
      <c r="A38" s="3">
        <v>45328</v>
      </c>
      <c r="B38" t="s">
        <v>15</v>
      </c>
      <c r="C38" t="s">
        <v>21</v>
      </c>
      <c r="D38" t="s">
        <v>80</v>
      </c>
      <c r="E38" t="s">
        <v>23</v>
      </c>
      <c r="F38" t="s">
        <v>24</v>
      </c>
      <c r="G38">
        <v>14500</v>
      </c>
      <c r="H38">
        <v>2000</v>
      </c>
      <c r="I38">
        <f>YEAR(Table7[[#This Row],[Order_Date]])</f>
        <v>2024</v>
      </c>
      <c r="J38" t="str">
        <f>TEXT(Table7[[#This Row],[Order_Date]],"mmm")</f>
        <v>Feb</v>
      </c>
      <c r="K38" s="5">
        <f>Table7[[#This Row],[Profit]]/Table7[[#This Row],[Sales]]</f>
        <v>0.13793103448275862</v>
      </c>
    </row>
    <row r="39" spans="1:11" x14ac:dyDescent="0.3">
      <c r="A39" s="3">
        <v>45329</v>
      </c>
      <c r="B39" t="s">
        <v>25</v>
      </c>
      <c r="C39" t="s">
        <v>47</v>
      </c>
      <c r="D39" t="s">
        <v>81</v>
      </c>
      <c r="E39" t="s">
        <v>18</v>
      </c>
      <c r="F39" t="s">
        <v>28</v>
      </c>
      <c r="G39">
        <v>58000</v>
      </c>
      <c r="H39">
        <v>8400</v>
      </c>
      <c r="I39">
        <f>YEAR(Table7[[#This Row],[Order_Date]])</f>
        <v>2024</v>
      </c>
      <c r="J39" t="str">
        <f>TEXT(Table7[[#This Row],[Order_Date]],"mmm")</f>
        <v>Feb</v>
      </c>
      <c r="K39" s="5">
        <f>Table7[[#This Row],[Profit]]/Table7[[#This Row],[Sales]]</f>
        <v>0.14482758620689656</v>
      </c>
    </row>
    <row r="40" spans="1:11" x14ac:dyDescent="0.3">
      <c r="A40" s="3">
        <v>45330</v>
      </c>
      <c r="B40" t="s">
        <v>29</v>
      </c>
      <c r="C40" t="s">
        <v>49</v>
      </c>
      <c r="D40" t="s">
        <v>82</v>
      </c>
      <c r="E40" t="s">
        <v>23</v>
      </c>
      <c r="F40" t="s">
        <v>44</v>
      </c>
      <c r="G40">
        <v>33000</v>
      </c>
      <c r="H40">
        <v>4700</v>
      </c>
      <c r="I40">
        <f>YEAR(Table7[[#This Row],[Order_Date]])</f>
        <v>2024</v>
      </c>
      <c r="J40" t="str">
        <f>TEXT(Table7[[#This Row],[Order_Date]],"mmm")</f>
        <v>Feb</v>
      </c>
      <c r="K40" s="5">
        <f>Table7[[#This Row],[Profit]]/Table7[[#This Row],[Sales]]</f>
        <v>0.14242424242424243</v>
      </c>
    </row>
    <row r="41" spans="1:11" x14ac:dyDescent="0.3">
      <c r="A41" s="3">
        <v>45331</v>
      </c>
      <c r="B41" t="s">
        <v>33</v>
      </c>
      <c r="C41" t="s">
        <v>42</v>
      </c>
      <c r="D41" t="s">
        <v>83</v>
      </c>
      <c r="E41" t="s">
        <v>18</v>
      </c>
      <c r="F41" t="s">
        <v>36</v>
      </c>
      <c r="G41">
        <v>39000</v>
      </c>
      <c r="H41">
        <v>5800</v>
      </c>
      <c r="I41">
        <f>YEAR(Table7[[#This Row],[Order_Date]])</f>
        <v>2024</v>
      </c>
      <c r="J41" t="str">
        <f>TEXT(Table7[[#This Row],[Order_Date]],"mmm")</f>
        <v>Feb</v>
      </c>
      <c r="K41" s="5">
        <f>Table7[[#This Row],[Profit]]/Table7[[#This Row],[Sales]]</f>
        <v>0.14871794871794872</v>
      </c>
    </row>
    <row r="42" spans="1:11" x14ac:dyDescent="0.3">
      <c r="A42" s="3">
        <v>45332</v>
      </c>
      <c r="B42" t="s">
        <v>15</v>
      </c>
      <c r="C42" t="s">
        <v>16</v>
      </c>
      <c r="D42" t="s">
        <v>20</v>
      </c>
      <c r="E42" t="s">
        <v>18</v>
      </c>
      <c r="F42" t="s">
        <v>19</v>
      </c>
      <c r="G42">
        <v>29500</v>
      </c>
      <c r="H42">
        <v>4800</v>
      </c>
      <c r="I42">
        <f>YEAR(Table7[[#This Row],[Order_Date]])</f>
        <v>2024</v>
      </c>
      <c r="J42" t="str">
        <f>TEXT(Table7[[#This Row],[Order_Date]],"mmm")</f>
        <v>Feb</v>
      </c>
      <c r="K42" s="5">
        <f>Table7[[#This Row],[Profit]]/Table7[[#This Row],[Sales]]</f>
        <v>0.16271186440677965</v>
      </c>
    </row>
    <row r="43" spans="1:11" x14ac:dyDescent="0.3">
      <c r="A43" s="3">
        <v>45333</v>
      </c>
      <c r="B43" t="s">
        <v>15</v>
      </c>
      <c r="C43" t="s">
        <v>21</v>
      </c>
      <c r="D43" t="s">
        <v>84</v>
      </c>
      <c r="E43" t="s">
        <v>23</v>
      </c>
      <c r="F43" t="s">
        <v>32</v>
      </c>
      <c r="G43">
        <v>17500</v>
      </c>
      <c r="H43">
        <v>2500</v>
      </c>
      <c r="I43">
        <f>YEAR(Table7[[#This Row],[Order_Date]])</f>
        <v>2024</v>
      </c>
      <c r="J43" t="str">
        <f>TEXT(Table7[[#This Row],[Order_Date]],"mmm")</f>
        <v>Feb</v>
      </c>
      <c r="K43" s="5">
        <f>Table7[[#This Row],[Profit]]/Table7[[#This Row],[Sales]]</f>
        <v>0.14285714285714285</v>
      </c>
    </row>
    <row r="44" spans="1:11" x14ac:dyDescent="0.3">
      <c r="A44" s="3">
        <v>45334</v>
      </c>
      <c r="B44" t="s">
        <v>25</v>
      </c>
      <c r="C44" t="s">
        <v>3</v>
      </c>
      <c r="D44" t="s">
        <v>85</v>
      </c>
      <c r="E44" t="s">
        <v>18</v>
      </c>
      <c r="F44" t="s">
        <v>28</v>
      </c>
      <c r="G44">
        <v>57000</v>
      </c>
      <c r="H44">
        <v>8300</v>
      </c>
      <c r="I44">
        <f>YEAR(Table7[[#This Row],[Order_Date]])</f>
        <v>2024</v>
      </c>
      <c r="J44" t="str">
        <f>TEXT(Table7[[#This Row],[Order_Date]],"mmm")</f>
        <v>Feb</v>
      </c>
      <c r="K44" s="5">
        <f>Table7[[#This Row],[Profit]]/Table7[[#This Row],[Sales]]</f>
        <v>0.14561403508771931</v>
      </c>
    </row>
    <row r="45" spans="1:11" x14ac:dyDescent="0.3">
      <c r="A45" s="3">
        <v>45335</v>
      </c>
      <c r="B45" t="s">
        <v>29</v>
      </c>
      <c r="C45" t="s">
        <v>30</v>
      </c>
      <c r="D45" t="s">
        <v>86</v>
      </c>
      <c r="E45" t="s">
        <v>23</v>
      </c>
      <c r="F45" t="s">
        <v>40</v>
      </c>
      <c r="G45">
        <v>61000</v>
      </c>
      <c r="H45">
        <v>9100</v>
      </c>
      <c r="I45">
        <f>YEAR(Table7[[#This Row],[Order_Date]])</f>
        <v>2024</v>
      </c>
      <c r="J45" t="str">
        <f>TEXT(Table7[[#This Row],[Order_Date]],"mmm")</f>
        <v>Feb</v>
      </c>
      <c r="K45" s="5">
        <f>Table7[[#This Row],[Profit]]/Table7[[#This Row],[Sales]]</f>
        <v>0.14918032786885246</v>
      </c>
    </row>
    <row r="46" spans="1:11" x14ac:dyDescent="0.3">
      <c r="A46" s="3">
        <v>45336</v>
      </c>
      <c r="B46" t="s">
        <v>33</v>
      </c>
      <c r="C46" t="s">
        <v>67</v>
      </c>
      <c r="D46" t="s">
        <v>87</v>
      </c>
      <c r="E46" t="s">
        <v>18</v>
      </c>
      <c r="F46" t="s">
        <v>19</v>
      </c>
      <c r="G46">
        <v>25500</v>
      </c>
      <c r="H46">
        <v>4000</v>
      </c>
      <c r="I46">
        <f>YEAR(Table7[[#This Row],[Order_Date]])</f>
        <v>2024</v>
      </c>
      <c r="J46" t="str">
        <f>TEXT(Table7[[#This Row],[Order_Date]],"mmm")</f>
        <v>Feb</v>
      </c>
      <c r="K46" s="5">
        <f>Table7[[#This Row],[Profit]]/Table7[[#This Row],[Sales]]</f>
        <v>0.15686274509803921</v>
      </c>
    </row>
    <row r="47" spans="1:11" x14ac:dyDescent="0.3">
      <c r="A47" s="3">
        <v>45337</v>
      </c>
      <c r="B47" t="s">
        <v>15</v>
      </c>
      <c r="C47" t="s">
        <v>16</v>
      </c>
      <c r="D47" t="s">
        <v>88</v>
      </c>
      <c r="E47" t="s">
        <v>18</v>
      </c>
      <c r="F47" t="s">
        <v>36</v>
      </c>
      <c r="G47">
        <v>43000</v>
      </c>
      <c r="H47">
        <v>6500</v>
      </c>
      <c r="I47">
        <f>YEAR(Table7[[#This Row],[Order_Date]])</f>
        <v>2024</v>
      </c>
      <c r="J47" t="str">
        <f>TEXT(Table7[[#This Row],[Order_Date]],"mmm")</f>
        <v>Feb</v>
      </c>
      <c r="K47" s="5">
        <f>Table7[[#This Row],[Profit]]/Table7[[#This Row],[Sales]]</f>
        <v>0.15116279069767441</v>
      </c>
    </row>
    <row r="48" spans="1:11" x14ac:dyDescent="0.3">
      <c r="A48" s="3">
        <v>45338</v>
      </c>
      <c r="B48" t="s">
        <v>15</v>
      </c>
      <c r="C48" t="s">
        <v>21</v>
      </c>
      <c r="D48" t="s">
        <v>89</v>
      </c>
      <c r="E48" t="s">
        <v>23</v>
      </c>
      <c r="F48" t="s">
        <v>44</v>
      </c>
      <c r="G48">
        <v>34000</v>
      </c>
      <c r="H48">
        <v>4800</v>
      </c>
      <c r="I48">
        <f>YEAR(Table7[[#This Row],[Order_Date]])</f>
        <v>2024</v>
      </c>
      <c r="J48" t="str">
        <f>TEXT(Table7[[#This Row],[Order_Date]],"mmm")</f>
        <v>Feb</v>
      </c>
      <c r="K48" s="5">
        <f>Table7[[#This Row],[Profit]]/Table7[[#This Row],[Sales]]</f>
        <v>0.14117647058823529</v>
      </c>
    </row>
    <row r="49" spans="1:11" x14ac:dyDescent="0.3">
      <c r="A49" s="3">
        <v>45339</v>
      </c>
      <c r="B49" t="s">
        <v>25</v>
      </c>
      <c r="C49" t="s">
        <v>57</v>
      </c>
      <c r="D49" t="s">
        <v>90</v>
      </c>
      <c r="E49" t="s">
        <v>18</v>
      </c>
      <c r="F49" t="s">
        <v>28</v>
      </c>
      <c r="G49">
        <v>54500</v>
      </c>
      <c r="H49">
        <v>8000</v>
      </c>
      <c r="I49">
        <f>YEAR(Table7[[#This Row],[Order_Date]])</f>
        <v>2024</v>
      </c>
      <c r="J49" t="str">
        <f>TEXT(Table7[[#This Row],[Order_Date]],"mmm")</f>
        <v>Feb</v>
      </c>
      <c r="K49" s="5">
        <f>Table7[[#This Row],[Profit]]/Table7[[#This Row],[Sales]]</f>
        <v>0.14678899082568808</v>
      </c>
    </row>
    <row r="50" spans="1:11" x14ac:dyDescent="0.3">
      <c r="A50" s="3">
        <v>45340</v>
      </c>
      <c r="B50" t="s">
        <v>29</v>
      </c>
      <c r="C50" t="s">
        <v>65</v>
      </c>
      <c r="D50" t="s">
        <v>91</v>
      </c>
      <c r="E50" t="s">
        <v>23</v>
      </c>
      <c r="F50" t="s">
        <v>24</v>
      </c>
      <c r="G50">
        <v>16500</v>
      </c>
      <c r="H50">
        <v>2400</v>
      </c>
      <c r="I50">
        <f>YEAR(Table7[[#This Row],[Order_Date]])</f>
        <v>2024</v>
      </c>
      <c r="J50" t="str">
        <f>TEXT(Table7[[#This Row],[Order_Date]],"mmm")</f>
        <v>Feb</v>
      </c>
      <c r="K50" s="5">
        <f>Table7[[#This Row],[Profit]]/Table7[[#This Row],[Sales]]</f>
        <v>0.14545454545454545</v>
      </c>
    </row>
    <row r="51" spans="1:11" x14ac:dyDescent="0.3">
      <c r="A51" s="3">
        <v>45341</v>
      </c>
      <c r="B51" t="s">
        <v>33</v>
      </c>
      <c r="C51" t="s">
        <v>51</v>
      </c>
      <c r="D51" t="s">
        <v>92</v>
      </c>
      <c r="E51" t="s">
        <v>18</v>
      </c>
      <c r="F51" t="s">
        <v>19</v>
      </c>
      <c r="G51">
        <v>23500</v>
      </c>
      <c r="H51">
        <v>3700</v>
      </c>
      <c r="I51">
        <f>YEAR(Table7[[#This Row],[Order_Date]])</f>
        <v>2024</v>
      </c>
      <c r="J51" t="str">
        <f>TEXT(Table7[[#This Row],[Order_Date]],"mmm")</f>
        <v>Feb</v>
      </c>
      <c r="K51" s="5">
        <f>Table7[[#This Row],[Profit]]/Table7[[#This Row],[Sales]]</f>
        <v>0.1574468085106383</v>
      </c>
    </row>
    <row r="52" spans="1:11" x14ac:dyDescent="0.3">
      <c r="A52" s="3">
        <v>45342</v>
      </c>
      <c r="B52" t="s">
        <v>15</v>
      </c>
      <c r="C52" t="s">
        <v>16</v>
      </c>
      <c r="D52" t="s">
        <v>93</v>
      </c>
      <c r="E52" t="s">
        <v>18</v>
      </c>
      <c r="F52" t="s">
        <v>19</v>
      </c>
      <c r="G52">
        <v>26000</v>
      </c>
      <c r="H52">
        <v>4100</v>
      </c>
      <c r="I52">
        <f>YEAR(Table7[[#This Row],[Order_Date]])</f>
        <v>2024</v>
      </c>
      <c r="J52" t="str">
        <f>TEXT(Table7[[#This Row],[Order_Date]],"mmm")</f>
        <v>Feb</v>
      </c>
      <c r="K52" s="5">
        <f>Table7[[#This Row],[Profit]]/Table7[[#This Row],[Sales]]</f>
        <v>0.15769230769230769</v>
      </c>
    </row>
    <row r="53" spans="1:11" x14ac:dyDescent="0.3">
      <c r="A53" s="3">
        <v>45343</v>
      </c>
      <c r="B53" t="s">
        <v>15</v>
      </c>
      <c r="C53" t="s">
        <v>21</v>
      </c>
      <c r="D53" t="s">
        <v>94</v>
      </c>
      <c r="E53" t="s">
        <v>23</v>
      </c>
      <c r="F53" t="s">
        <v>32</v>
      </c>
      <c r="G53">
        <v>18500</v>
      </c>
      <c r="H53">
        <v>2700</v>
      </c>
      <c r="I53">
        <f>YEAR(Table7[[#This Row],[Order_Date]])</f>
        <v>2024</v>
      </c>
      <c r="J53" t="str">
        <f>TEXT(Table7[[#This Row],[Order_Date]],"mmm")</f>
        <v>Feb</v>
      </c>
      <c r="K53" s="5">
        <f>Table7[[#This Row],[Profit]]/Table7[[#This Row],[Sales]]</f>
        <v>0.14594594594594595</v>
      </c>
    </row>
    <row r="54" spans="1:11" x14ac:dyDescent="0.3">
      <c r="A54" s="3">
        <v>45344</v>
      </c>
      <c r="B54" t="s">
        <v>25</v>
      </c>
      <c r="C54" t="s">
        <v>55</v>
      </c>
      <c r="D54" t="s">
        <v>95</v>
      </c>
      <c r="E54" t="s">
        <v>18</v>
      </c>
      <c r="F54" t="s">
        <v>36</v>
      </c>
      <c r="G54">
        <v>40500</v>
      </c>
      <c r="H54">
        <v>6000</v>
      </c>
      <c r="I54">
        <f>YEAR(Table7[[#This Row],[Order_Date]])</f>
        <v>2024</v>
      </c>
      <c r="J54" t="str">
        <f>TEXT(Table7[[#This Row],[Order_Date]],"mmm")</f>
        <v>Feb</v>
      </c>
      <c r="K54" s="5">
        <f>Table7[[#This Row],[Profit]]/Table7[[#This Row],[Sales]]</f>
        <v>0.14814814814814814</v>
      </c>
    </row>
    <row r="55" spans="1:11" x14ac:dyDescent="0.3">
      <c r="A55" s="3">
        <v>45345</v>
      </c>
      <c r="B55" t="s">
        <v>29</v>
      </c>
      <c r="C55" t="s">
        <v>57</v>
      </c>
      <c r="D55" t="s">
        <v>96</v>
      </c>
      <c r="E55" t="s">
        <v>23</v>
      </c>
      <c r="F55" t="s">
        <v>44</v>
      </c>
      <c r="G55">
        <v>32000</v>
      </c>
      <c r="H55">
        <v>4600</v>
      </c>
      <c r="I55">
        <f>YEAR(Table7[[#This Row],[Order_Date]])</f>
        <v>2024</v>
      </c>
      <c r="J55" t="str">
        <f>TEXT(Table7[[#This Row],[Order_Date]],"mmm")</f>
        <v>Feb</v>
      </c>
      <c r="K55" s="5">
        <f>Table7[[#This Row],[Profit]]/Table7[[#This Row],[Sales]]</f>
        <v>0.14374999999999999</v>
      </c>
    </row>
    <row r="56" spans="1:11" x14ac:dyDescent="0.3">
      <c r="A56" s="3">
        <v>45346</v>
      </c>
      <c r="B56" t="s">
        <v>33</v>
      </c>
      <c r="C56" t="s">
        <v>59</v>
      </c>
      <c r="D56" t="s">
        <v>97</v>
      </c>
      <c r="E56" t="s">
        <v>18</v>
      </c>
      <c r="F56" t="s">
        <v>28</v>
      </c>
      <c r="G56">
        <v>51500</v>
      </c>
      <c r="H56">
        <v>7500</v>
      </c>
      <c r="I56">
        <f>YEAR(Table7[[#This Row],[Order_Date]])</f>
        <v>2024</v>
      </c>
      <c r="J56" t="str">
        <f>TEXT(Table7[[#This Row],[Order_Date]],"mmm")</f>
        <v>Feb</v>
      </c>
      <c r="K56" s="5">
        <f>Table7[[#This Row],[Profit]]/Table7[[#This Row],[Sales]]</f>
        <v>0.14563106796116504</v>
      </c>
    </row>
    <row r="57" spans="1:11" x14ac:dyDescent="0.3">
      <c r="A57" s="3">
        <v>45347</v>
      </c>
      <c r="B57" t="s">
        <v>15</v>
      </c>
      <c r="C57" t="s">
        <v>16</v>
      </c>
      <c r="D57" t="s">
        <v>98</v>
      </c>
      <c r="E57" t="s">
        <v>18</v>
      </c>
      <c r="F57" t="s">
        <v>19</v>
      </c>
      <c r="G57">
        <v>28500</v>
      </c>
      <c r="H57">
        <v>4500</v>
      </c>
      <c r="I57">
        <f>YEAR(Table7[[#This Row],[Order_Date]])</f>
        <v>2024</v>
      </c>
      <c r="J57" t="str">
        <f>TEXT(Table7[[#This Row],[Order_Date]],"mmm")</f>
        <v>Feb</v>
      </c>
      <c r="K57" s="5">
        <f>Table7[[#This Row],[Profit]]/Table7[[#This Row],[Sales]]</f>
        <v>0.15789473684210525</v>
      </c>
    </row>
    <row r="58" spans="1:11" x14ac:dyDescent="0.3">
      <c r="A58" s="3">
        <v>45348</v>
      </c>
      <c r="B58" t="s">
        <v>15</v>
      </c>
      <c r="C58" t="s">
        <v>21</v>
      </c>
      <c r="D58" t="s">
        <v>99</v>
      </c>
      <c r="E58" t="s">
        <v>23</v>
      </c>
      <c r="F58" t="s">
        <v>24</v>
      </c>
      <c r="G58">
        <v>15000</v>
      </c>
      <c r="H58">
        <v>2200</v>
      </c>
      <c r="I58">
        <f>YEAR(Table7[[#This Row],[Order_Date]])</f>
        <v>2024</v>
      </c>
      <c r="J58" t="str">
        <f>TEXT(Table7[[#This Row],[Order_Date]],"mmm")</f>
        <v>Feb</v>
      </c>
      <c r="K58" s="5">
        <f>Table7[[#This Row],[Profit]]/Table7[[#This Row],[Sales]]</f>
        <v>0.14666666666666667</v>
      </c>
    </row>
    <row r="59" spans="1:11" x14ac:dyDescent="0.3">
      <c r="A59" s="3">
        <v>45349</v>
      </c>
      <c r="B59" t="s">
        <v>25</v>
      </c>
      <c r="C59" t="s">
        <v>63</v>
      </c>
      <c r="D59" t="s">
        <v>100</v>
      </c>
      <c r="E59" t="s">
        <v>18</v>
      </c>
      <c r="F59" t="s">
        <v>28</v>
      </c>
      <c r="G59">
        <v>52500</v>
      </c>
      <c r="H59">
        <v>7700</v>
      </c>
      <c r="I59">
        <f>YEAR(Table7[[#This Row],[Order_Date]])</f>
        <v>2024</v>
      </c>
      <c r="J59" t="str">
        <f>TEXT(Table7[[#This Row],[Order_Date]],"mmm")</f>
        <v>Feb</v>
      </c>
      <c r="K59" s="5">
        <f>Table7[[#This Row],[Profit]]/Table7[[#This Row],[Sales]]</f>
        <v>0.14666666666666667</v>
      </c>
    </row>
    <row r="60" spans="1:11" x14ac:dyDescent="0.3">
      <c r="A60" s="3">
        <v>45350</v>
      </c>
      <c r="B60" t="s">
        <v>29</v>
      </c>
      <c r="C60" t="s">
        <v>73</v>
      </c>
      <c r="D60" t="s">
        <v>101</v>
      </c>
      <c r="E60" t="s">
        <v>23</v>
      </c>
      <c r="F60" t="s">
        <v>32</v>
      </c>
      <c r="G60">
        <v>19500</v>
      </c>
      <c r="H60">
        <v>2900</v>
      </c>
      <c r="I60">
        <f>YEAR(Table7[[#This Row],[Order_Date]])</f>
        <v>2024</v>
      </c>
      <c r="J60" t="str">
        <f>TEXT(Table7[[#This Row],[Order_Date]],"mmm")</f>
        <v>Feb</v>
      </c>
      <c r="K60" s="5">
        <f>Table7[[#This Row],[Profit]]/Table7[[#This Row],[Sales]]</f>
        <v>0.14871794871794872</v>
      </c>
    </row>
    <row r="61" spans="1:11" x14ac:dyDescent="0.3">
      <c r="A61" s="3">
        <v>45351</v>
      </c>
      <c r="B61" t="s">
        <v>33</v>
      </c>
      <c r="C61" t="s">
        <v>75</v>
      </c>
      <c r="D61" t="s">
        <v>96</v>
      </c>
      <c r="E61" t="s">
        <v>18</v>
      </c>
      <c r="F61" t="s">
        <v>19</v>
      </c>
      <c r="G61">
        <v>24500</v>
      </c>
      <c r="H61">
        <v>3900</v>
      </c>
      <c r="I61">
        <f>YEAR(Table7[[#This Row],[Order_Date]])</f>
        <v>2024</v>
      </c>
      <c r="J61" t="str">
        <f>TEXT(Table7[[#This Row],[Order_Date]],"mmm")</f>
        <v>Feb</v>
      </c>
      <c r="K61" s="5">
        <f>Table7[[#This Row],[Profit]]/Table7[[#This Row],[Sales]]</f>
        <v>0.15918367346938775</v>
      </c>
    </row>
    <row r="62" spans="1:11" x14ac:dyDescent="0.3">
      <c r="A62" s="3">
        <v>45361</v>
      </c>
      <c r="B62" t="s">
        <v>33</v>
      </c>
      <c r="C62" t="s">
        <v>42</v>
      </c>
      <c r="D62" t="s">
        <v>43</v>
      </c>
      <c r="E62" t="s">
        <v>23</v>
      </c>
      <c r="F62" t="s">
        <v>44</v>
      </c>
      <c r="G62">
        <v>30000</v>
      </c>
      <c r="H62">
        <v>4000</v>
      </c>
      <c r="I62">
        <f>YEAR(Table7[[#This Row],[Order_Date]])</f>
        <v>2024</v>
      </c>
      <c r="J62" t="str">
        <f>TEXT(Table7[[#This Row],[Order_Date]],"mmm")</f>
        <v>Mar</v>
      </c>
      <c r="K62" s="5">
        <v>0.13333333333333333</v>
      </c>
    </row>
    <row r="63" spans="1:11" x14ac:dyDescent="0.3">
      <c r="A63" s="3">
        <v>45362</v>
      </c>
      <c r="B63" t="s">
        <v>15</v>
      </c>
      <c r="C63" t="s">
        <v>16</v>
      </c>
      <c r="D63" t="s">
        <v>45</v>
      </c>
      <c r="E63" t="s">
        <v>18</v>
      </c>
      <c r="F63" t="s">
        <v>19</v>
      </c>
      <c r="G63">
        <v>25000</v>
      </c>
      <c r="H63">
        <v>4200</v>
      </c>
      <c r="I63">
        <f>YEAR(Table7[[#This Row],[Order_Date]])</f>
        <v>2024</v>
      </c>
      <c r="J63" t="str">
        <f>TEXT(Table7[[#This Row],[Order_Date]],"mmm")</f>
        <v>Mar</v>
      </c>
      <c r="K63" s="5">
        <v>0.16800000000000001</v>
      </c>
    </row>
    <row r="64" spans="1:11" x14ac:dyDescent="0.3">
      <c r="A64" s="3">
        <v>45363</v>
      </c>
      <c r="B64" t="s">
        <v>15</v>
      </c>
      <c r="C64" t="s">
        <v>16</v>
      </c>
      <c r="D64" t="s">
        <v>46</v>
      </c>
      <c r="E64" t="s">
        <v>23</v>
      </c>
      <c r="F64" t="s">
        <v>32</v>
      </c>
      <c r="G64">
        <v>18000</v>
      </c>
      <c r="H64">
        <v>2600</v>
      </c>
      <c r="I64">
        <f>YEAR(Table7[[#This Row],[Order_Date]])</f>
        <v>2024</v>
      </c>
      <c r="J64" t="str">
        <f>TEXT(Table7[[#This Row],[Order_Date]],"mmm")</f>
        <v>Mar</v>
      </c>
      <c r="K64" s="5">
        <v>0.14444444444444443</v>
      </c>
    </row>
    <row r="65" spans="1:11" x14ac:dyDescent="0.3">
      <c r="A65" s="3">
        <v>45364</v>
      </c>
      <c r="B65" t="s">
        <v>25</v>
      </c>
      <c r="C65" t="s">
        <v>47</v>
      </c>
      <c r="D65" t="s">
        <v>48</v>
      </c>
      <c r="E65" t="s">
        <v>18</v>
      </c>
      <c r="F65" t="s">
        <v>36</v>
      </c>
      <c r="G65">
        <v>38000</v>
      </c>
      <c r="H65">
        <v>5600</v>
      </c>
      <c r="I65">
        <f>YEAR(Table7[[#This Row],[Order_Date]])</f>
        <v>2024</v>
      </c>
      <c r="J65" t="str">
        <f>TEXT(Table7[[#This Row],[Order_Date]],"mmm")</f>
        <v>Mar</v>
      </c>
      <c r="K65" s="5">
        <v>0.14736842105263157</v>
      </c>
    </row>
    <row r="66" spans="1:11" x14ac:dyDescent="0.3">
      <c r="A66" s="3">
        <v>45365</v>
      </c>
      <c r="B66" t="s">
        <v>29</v>
      </c>
      <c r="C66" t="s">
        <v>49</v>
      </c>
      <c r="D66" t="s">
        <v>50</v>
      </c>
      <c r="E66" t="s">
        <v>23</v>
      </c>
      <c r="F66" t="s">
        <v>24</v>
      </c>
      <c r="G66">
        <v>16000</v>
      </c>
      <c r="H66">
        <v>2200</v>
      </c>
      <c r="I66">
        <f>YEAR(Table7[[#This Row],[Order_Date]])</f>
        <v>2024</v>
      </c>
      <c r="J66" t="str">
        <f>TEXT(Table7[[#This Row],[Order_Date]],"mmm")</f>
        <v>Mar</v>
      </c>
      <c r="K66" s="5">
        <v>0.13750000000000001</v>
      </c>
    </row>
    <row r="67" spans="1:11" x14ac:dyDescent="0.3">
      <c r="A67" s="3">
        <v>45366</v>
      </c>
      <c r="B67" t="s">
        <v>33</v>
      </c>
      <c r="C67" t="s">
        <v>51</v>
      </c>
      <c r="D67" t="s">
        <v>52</v>
      </c>
      <c r="E67" t="s">
        <v>18</v>
      </c>
      <c r="F67" t="s">
        <v>28</v>
      </c>
      <c r="G67">
        <v>50000</v>
      </c>
      <c r="H67">
        <v>7200</v>
      </c>
      <c r="I67">
        <f>YEAR(Table7[[#This Row],[Order_Date]])</f>
        <v>2024</v>
      </c>
      <c r="J67" t="str">
        <f>TEXT(Table7[[#This Row],[Order_Date]],"mmm")</f>
        <v>Mar</v>
      </c>
      <c r="K67" s="5">
        <v>0.14399999999999999</v>
      </c>
    </row>
    <row r="68" spans="1:11" x14ac:dyDescent="0.3">
      <c r="A68" s="3">
        <v>45367</v>
      </c>
      <c r="B68" t="s">
        <v>15</v>
      </c>
      <c r="C68" t="s">
        <v>21</v>
      </c>
      <c r="D68" t="s">
        <v>53</v>
      </c>
      <c r="E68" t="s">
        <v>18</v>
      </c>
      <c r="F68" t="s">
        <v>19</v>
      </c>
      <c r="G68">
        <v>27000</v>
      </c>
      <c r="H68">
        <v>4300</v>
      </c>
      <c r="I68">
        <f>YEAR(Table7[[#This Row],[Order_Date]])</f>
        <v>2024</v>
      </c>
      <c r="J68" t="str">
        <f>TEXT(Table7[[#This Row],[Order_Date]],"mmm")</f>
        <v>Mar</v>
      </c>
      <c r="K68" s="5">
        <v>0.15925925925925927</v>
      </c>
    </row>
    <row r="69" spans="1:11" x14ac:dyDescent="0.3">
      <c r="A69" s="3">
        <v>45368</v>
      </c>
      <c r="B69" t="s">
        <v>15</v>
      </c>
      <c r="C69" t="s">
        <v>16</v>
      </c>
      <c r="D69" t="s">
        <v>54</v>
      </c>
      <c r="E69" t="s">
        <v>23</v>
      </c>
      <c r="F69" t="s">
        <v>44</v>
      </c>
      <c r="G69">
        <v>32000</v>
      </c>
      <c r="H69">
        <v>4500</v>
      </c>
      <c r="I69">
        <f>YEAR(Table7[[#This Row],[Order_Date]])</f>
        <v>2024</v>
      </c>
      <c r="J69" t="str">
        <f>TEXT(Table7[[#This Row],[Order_Date]],"mmm")</f>
        <v>Mar</v>
      </c>
      <c r="K69" s="5">
        <v>0.140625</v>
      </c>
    </row>
    <row r="70" spans="1:11" x14ac:dyDescent="0.3">
      <c r="A70" s="3">
        <v>45369</v>
      </c>
      <c r="B70" t="s">
        <v>25</v>
      </c>
      <c r="C70" t="s">
        <v>55</v>
      </c>
      <c r="D70" t="s">
        <v>56</v>
      </c>
      <c r="E70" t="s">
        <v>18</v>
      </c>
      <c r="F70" t="s">
        <v>36</v>
      </c>
      <c r="G70">
        <v>41000</v>
      </c>
      <c r="H70">
        <v>6100</v>
      </c>
      <c r="I70">
        <f>YEAR(Table7[[#This Row],[Order_Date]])</f>
        <v>2024</v>
      </c>
      <c r="J70" t="str">
        <f>TEXT(Table7[[#This Row],[Order_Date]],"mmm")</f>
        <v>Mar</v>
      </c>
      <c r="K70" s="5">
        <v>0.14878048780487804</v>
      </c>
    </row>
    <row r="71" spans="1:11" x14ac:dyDescent="0.3">
      <c r="A71" s="3">
        <v>45370</v>
      </c>
      <c r="B71" t="s">
        <v>29</v>
      </c>
      <c r="C71" t="s">
        <v>57</v>
      </c>
      <c r="D71" t="s">
        <v>58</v>
      </c>
      <c r="E71" t="s">
        <v>23</v>
      </c>
      <c r="F71" t="s">
        <v>40</v>
      </c>
      <c r="G71">
        <v>58000</v>
      </c>
      <c r="H71">
        <v>8500</v>
      </c>
      <c r="I71">
        <f>YEAR(Table7[[#This Row],[Order_Date]])</f>
        <v>2024</v>
      </c>
      <c r="J71" t="str">
        <f>TEXT(Table7[[#This Row],[Order_Date]],"mmm")</f>
        <v>Mar</v>
      </c>
      <c r="K71" s="5">
        <v>0.14655172413793102</v>
      </c>
    </row>
    <row r="72" spans="1:11" x14ac:dyDescent="0.3">
      <c r="A72" s="3">
        <v>45371</v>
      </c>
      <c r="B72" t="s">
        <v>33</v>
      </c>
      <c r="C72" t="s">
        <v>59</v>
      </c>
      <c r="D72" t="s">
        <v>60</v>
      </c>
      <c r="E72" t="s">
        <v>18</v>
      </c>
      <c r="F72" t="s">
        <v>19</v>
      </c>
      <c r="G72">
        <v>26000</v>
      </c>
      <c r="H72">
        <v>3900</v>
      </c>
      <c r="I72">
        <f>YEAR(Table7[[#This Row],[Order_Date]])</f>
        <v>2024</v>
      </c>
      <c r="J72" t="str">
        <f>TEXT(Table7[[#This Row],[Order_Date]],"mmm")</f>
        <v>Mar</v>
      </c>
      <c r="K72" s="5">
        <v>0.15</v>
      </c>
    </row>
    <row r="73" spans="1:11" x14ac:dyDescent="0.3">
      <c r="A73" s="3">
        <v>45372</v>
      </c>
      <c r="B73" t="s">
        <v>15</v>
      </c>
      <c r="C73" t="s">
        <v>16</v>
      </c>
      <c r="D73" t="s">
        <v>61</v>
      </c>
      <c r="E73" t="s">
        <v>18</v>
      </c>
      <c r="F73" t="s">
        <v>38</v>
      </c>
      <c r="G73">
        <v>9000</v>
      </c>
      <c r="H73">
        <v>1700</v>
      </c>
      <c r="I73">
        <f>YEAR(Table7[[#This Row],[Order_Date]])</f>
        <v>2024</v>
      </c>
      <c r="J73" t="str">
        <f>TEXT(Table7[[#This Row],[Order_Date]],"mmm")</f>
        <v>Mar</v>
      </c>
      <c r="K73" s="5">
        <v>0.18888888888888888</v>
      </c>
    </row>
    <row r="74" spans="1:11" x14ac:dyDescent="0.3">
      <c r="A74" s="3">
        <v>45404</v>
      </c>
      <c r="B74" t="s">
        <v>15</v>
      </c>
      <c r="C74" t="s">
        <v>21</v>
      </c>
      <c r="D74" t="s">
        <v>62</v>
      </c>
      <c r="E74" t="s">
        <v>23</v>
      </c>
      <c r="F74" t="s">
        <v>24</v>
      </c>
      <c r="G74">
        <v>14000</v>
      </c>
      <c r="H74">
        <v>2100</v>
      </c>
      <c r="I74">
        <f>YEAR(Table7[[#This Row],[Order_Date]])</f>
        <v>2024</v>
      </c>
      <c r="J74" t="str">
        <f>TEXT(Table7[[#This Row],[Order_Date]],"mmm")</f>
        <v>Apr</v>
      </c>
      <c r="K74" s="5">
        <v>0.15</v>
      </c>
    </row>
    <row r="75" spans="1:11" x14ac:dyDescent="0.3">
      <c r="A75" s="3">
        <v>45405</v>
      </c>
      <c r="B75" t="s">
        <v>25</v>
      </c>
      <c r="C75" t="s">
        <v>63</v>
      </c>
      <c r="D75" t="s">
        <v>64</v>
      </c>
      <c r="E75" t="s">
        <v>18</v>
      </c>
      <c r="F75" t="s">
        <v>28</v>
      </c>
      <c r="G75">
        <v>54000</v>
      </c>
      <c r="H75">
        <v>7900</v>
      </c>
      <c r="I75">
        <f>YEAR(Table7[[#This Row],[Order_Date]])</f>
        <v>2024</v>
      </c>
      <c r="J75" t="str">
        <f>TEXT(Table7[[#This Row],[Order_Date]],"mmm")</f>
        <v>Apr</v>
      </c>
      <c r="K75" s="5">
        <v>0.14629629629629629</v>
      </c>
    </row>
    <row r="76" spans="1:11" x14ac:dyDescent="0.3">
      <c r="A76" s="3">
        <v>45406</v>
      </c>
      <c r="B76" t="s">
        <v>29</v>
      </c>
      <c r="C76" t="s">
        <v>65</v>
      </c>
      <c r="D76" t="s">
        <v>66</v>
      </c>
      <c r="E76" t="s">
        <v>23</v>
      </c>
      <c r="F76" t="s">
        <v>32</v>
      </c>
      <c r="G76">
        <v>19000</v>
      </c>
      <c r="H76">
        <v>2800</v>
      </c>
      <c r="I76">
        <f>YEAR(Table7[[#This Row],[Order_Date]])</f>
        <v>2024</v>
      </c>
      <c r="J76" t="str">
        <f>TEXT(Table7[[#This Row],[Order_Date]],"mmm")</f>
        <v>Apr</v>
      </c>
      <c r="K76" s="5">
        <v>0.14736842105263157</v>
      </c>
    </row>
    <row r="77" spans="1:11" x14ac:dyDescent="0.3">
      <c r="A77" s="3">
        <v>45407</v>
      </c>
      <c r="B77" t="s">
        <v>33</v>
      </c>
      <c r="C77" t="s">
        <v>67</v>
      </c>
      <c r="D77" t="s">
        <v>68</v>
      </c>
      <c r="E77" t="s">
        <v>18</v>
      </c>
      <c r="F77" t="s">
        <v>36</v>
      </c>
      <c r="G77">
        <v>36000</v>
      </c>
      <c r="H77">
        <v>5400</v>
      </c>
      <c r="I77">
        <f>YEAR(Table7[[#This Row],[Order_Date]])</f>
        <v>2024</v>
      </c>
      <c r="J77" t="str">
        <f>TEXT(Table7[[#This Row],[Order_Date]],"mmm")</f>
        <v>Apr</v>
      </c>
      <c r="K77" s="5">
        <v>0.15</v>
      </c>
    </row>
    <row r="78" spans="1:11" x14ac:dyDescent="0.3">
      <c r="A78" s="3">
        <v>45408</v>
      </c>
      <c r="B78" t="s">
        <v>15</v>
      </c>
      <c r="C78" t="s">
        <v>16</v>
      </c>
      <c r="D78" t="s">
        <v>69</v>
      </c>
      <c r="E78" t="s">
        <v>18</v>
      </c>
      <c r="F78" t="s">
        <v>19</v>
      </c>
      <c r="G78">
        <v>29000</v>
      </c>
      <c r="H78">
        <v>4600</v>
      </c>
      <c r="I78">
        <f>YEAR(Table7[[#This Row],[Order_Date]])</f>
        <v>2024</v>
      </c>
      <c r="J78" t="str">
        <f>TEXT(Table7[[#This Row],[Order_Date]],"mmm")</f>
        <v>Apr</v>
      </c>
      <c r="K78" s="5">
        <v>0.15862068965517243</v>
      </c>
    </row>
    <row r="79" spans="1:11" x14ac:dyDescent="0.3">
      <c r="A79" s="3">
        <v>45409</v>
      </c>
      <c r="B79" t="s">
        <v>15</v>
      </c>
      <c r="C79" t="s">
        <v>21</v>
      </c>
      <c r="D79" t="s">
        <v>70</v>
      </c>
      <c r="E79" t="s">
        <v>23</v>
      </c>
      <c r="F79" t="s">
        <v>44</v>
      </c>
      <c r="G79">
        <v>31000</v>
      </c>
      <c r="H79">
        <v>4400</v>
      </c>
      <c r="I79">
        <f>YEAR(Table7[[#This Row],[Order_Date]])</f>
        <v>2024</v>
      </c>
      <c r="J79" t="str">
        <f>TEXT(Table7[[#This Row],[Order_Date]],"mmm")</f>
        <v>Apr</v>
      </c>
      <c r="K79" s="5">
        <v>0.14193548387096774</v>
      </c>
    </row>
    <row r="80" spans="1:11" x14ac:dyDescent="0.3">
      <c r="A80" s="3">
        <v>45410</v>
      </c>
      <c r="B80" t="s">
        <v>25</v>
      </c>
      <c r="C80" t="s">
        <v>71</v>
      </c>
      <c r="D80" t="s">
        <v>72</v>
      </c>
      <c r="E80" t="s">
        <v>18</v>
      </c>
      <c r="F80" t="s">
        <v>28</v>
      </c>
      <c r="G80">
        <v>53000</v>
      </c>
      <c r="H80">
        <v>7800</v>
      </c>
      <c r="I80">
        <f>YEAR(Table7[[#This Row],[Order_Date]])</f>
        <v>2024</v>
      </c>
      <c r="J80" t="str">
        <f>TEXT(Table7[[#This Row],[Order_Date]],"mmm")</f>
        <v>Apr</v>
      </c>
      <c r="K80" s="5">
        <v>0.14716981132075471</v>
      </c>
    </row>
    <row r="81" spans="1:11" x14ac:dyDescent="0.3">
      <c r="A81" s="3">
        <v>45414</v>
      </c>
      <c r="B81" t="s">
        <v>29</v>
      </c>
      <c r="C81" t="s">
        <v>73</v>
      </c>
      <c r="D81" t="s">
        <v>74</v>
      </c>
      <c r="E81" t="s">
        <v>23</v>
      </c>
      <c r="F81" t="s">
        <v>24</v>
      </c>
      <c r="G81">
        <v>15500</v>
      </c>
      <c r="H81">
        <v>2300</v>
      </c>
      <c r="I81">
        <f>YEAR(Table7[[#This Row],[Order_Date]])</f>
        <v>2024</v>
      </c>
      <c r="J81" t="str">
        <f>TEXT(Table7[[#This Row],[Order_Date]],"mmm")</f>
        <v>May</v>
      </c>
      <c r="K81" s="5">
        <v>0.14838709677419354</v>
      </c>
    </row>
    <row r="82" spans="1:11" x14ac:dyDescent="0.3">
      <c r="A82" s="3">
        <v>45415</v>
      </c>
      <c r="B82" t="s">
        <v>33</v>
      </c>
      <c r="C82" t="s">
        <v>75</v>
      </c>
      <c r="D82" t="s">
        <v>76</v>
      </c>
      <c r="E82" t="s">
        <v>18</v>
      </c>
      <c r="F82" t="s">
        <v>19</v>
      </c>
      <c r="G82">
        <v>24000</v>
      </c>
      <c r="H82">
        <v>3800</v>
      </c>
      <c r="I82">
        <f>YEAR(Table7[[#This Row],[Order_Date]])</f>
        <v>2024</v>
      </c>
      <c r="J82" t="str">
        <f>TEXT(Table7[[#This Row],[Order_Date]],"mmm")</f>
        <v>May</v>
      </c>
      <c r="K82" s="5">
        <v>0.15833333333333333</v>
      </c>
    </row>
    <row r="83" spans="1:11" x14ac:dyDescent="0.3">
      <c r="A83" s="3">
        <v>45416</v>
      </c>
      <c r="B83" t="s">
        <v>15</v>
      </c>
      <c r="C83" t="s">
        <v>16</v>
      </c>
      <c r="D83" t="s">
        <v>77</v>
      </c>
      <c r="E83" t="s">
        <v>18</v>
      </c>
      <c r="F83" t="s">
        <v>36</v>
      </c>
      <c r="G83">
        <v>42000</v>
      </c>
      <c r="H83">
        <v>6300</v>
      </c>
      <c r="I83">
        <f>YEAR(Table7[[#This Row],[Order_Date]])</f>
        <v>2024</v>
      </c>
      <c r="J83" t="str">
        <f>TEXT(Table7[[#This Row],[Order_Date]],"mmm")</f>
        <v>May</v>
      </c>
      <c r="K83" s="5">
        <v>0.15</v>
      </c>
    </row>
    <row r="84" spans="1:11" x14ac:dyDescent="0.3">
      <c r="A84" s="3">
        <v>45417</v>
      </c>
      <c r="B84" t="s">
        <v>15</v>
      </c>
      <c r="C84" t="s">
        <v>21</v>
      </c>
      <c r="D84" t="s">
        <v>22</v>
      </c>
      <c r="E84" t="s">
        <v>23</v>
      </c>
      <c r="F84" t="s">
        <v>40</v>
      </c>
      <c r="G84">
        <v>62000</v>
      </c>
      <c r="H84">
        <v>9200</v>
      </c>
      <c r="I84">
        <f>YEAR(Table7[[#This Row],[Order_Date]])</f>
        <v>2024</v>
      </c>
      <c r="J84" t="str">
        <f>TEXT(Table7[[#This Row],[Order_Date]],"mmm")</f>
        <v>May</v>
      </c>
      <c r="K84" s="5">
        <v>0.14838709677419354</v>
      </c>
    </row>
    <row r="85" spans="1:11" x14ac:dyDescent="0.3">
      <c r="A85" s="3">
        <v>45418</v>
      </c>
      <c r="B85" t="s">
        <v>25</v>
      </c>
      <c r="C85" t="s">
        <v>26</v>
      </c>
      <c r="D85" t="s">
        <v>27</v>
      </c>
      <c r="E85" t="s">
        <v>18</v>
      </c>
      <c r="F85" t="s">
        <v>28</v>
      </c>
      <c r="G85">
        <v>56000</v>
      </c>
      <c r="H85">
        <v>8100</v>
      </c>
      <c r="I85">
        <f>YEAR(Table7[[#This Row],[Order_Date]])</f>
        <v>2024</v>
      </c>
      <c r="J85" t="str">
        <f>TEXT(Table7[[#This Row],[Order_Date]],"mmm")</f>
        <v>May</v>
      </c>
      <c r="K85" s="5">
        <v>0.14464285714285716</v>
      </c>
    </row>
    <row r="86" spans="1:11" x14ac:dyDescent="0.3">
      <c r="A86" s="3">
        <v>45446</v>
      </c>
      <c r="B86" t="s">
        <v>29</v>
      </c>
      <c r="C86" t="s">
        <v>30</v>
      </c>
      <c r="D86" t="s">
        <v>78</v>
      </c>
      <c r="E86" t="s">
        <v>23</v>
      </c>
      <c r="F86" t="s">
        <v>32</v>
      </c>
      <c r="G86">
        <v>21000</v>
      </c>
      <c r="H86">
        <v>3100</v>
      </c>
      <c r="I86">
        <f>YEAR(Table7[[#This Row],[Order_Date]])</f>
        <v>2024</v>
      </c>
      <c r="J86" t="str">
        <f>TEXT(Table7[[#This Row],[Order_Date]],"mmm")</f>
        <v>Jun</v>
      </c>
      <c r="K86" s="5">
        <v>0.14761904761904762</v>
      </c>
    </row>
    <row r="87" spans="1:11" x14ac:dyDescent="0.3">
      <c r="A87" s="3">
        <v>45447</v>
      </c>
      <c r="B87" t="s">
        <v>33</v>
      </c>
      <c r="C87" t="s">
        <v>34</v>
      </c>
      <c r="D87" t="s">
        <v>79</v>
      </c>
      <c r="E87" t="s">
        <v>18</v>
      </c>
      <c r="F87" t="s">
        <v>19</v>
      </c>
      <c r="G87">
        <v>27000</v>
      </c>
      <c r="H87">
        <v>4100</v>
      </c>
      <c r="I87">
        <f>YEAR(Table7[[#This Row],[Order_Date]])</f>
        <v>2024</v>
      </c>
      <c r="J87" t="str">
        <f>TEXT(Table7[[#This Row],[Order_Date]],"mmm")</f>
        <v>Jun</v>
      </c>
      <c r="K87" s="5">
        <v>0.15185185185185185</v>
      </c>
    </row>
    <row r="88" spans="1:11" x14ac:dyDescent="0.3">
      <c r="A88" s="3">
        <v>45448</v>
      </c>
      <c r="B88" t="s">
        <v>15</v>
      </c>
      <c r="C88" t="s">
        <v>16</v>
      </c>
      <c r="D88" t="s">
        <v>17</v>
      </c>
      <c r="E88" t="s">
        <v>18</v>
      </c>
      <c r="F88" t="s">
        <v>19</v>
      </c>
      <c r="G88">
        <v>31000</v>
      </c>
      <c r="H88">
        <v>5200</v>
      </c>
      <c r="I88">
        <f>YEAR(Table7[[#This Row],[Order_Date]])</f>
        <v>2024</v>
      </c>
      <c r="J88" t="str">
        <f>TEXT(Table7[[#This Row],[Order_Date]],"mmm")</f>
        <v>Jun</v>
      </c>
      <c r="K88" s="5">
        <v>0.16774193548387098</v>
      </c>
    </row>
    <row r="89" spans="1:11" x14ac:dyDescent="0.3">
      <c r="A89" s="3">
        <v>45449</v>
      </c>
      <c r="B89" t="s">
        <v>15</v>
      </c>
      <c r="C89" t="s">
        <v>21</v>
      </c>
      <c r="D89" t="s">
        <v>80</v>
      </c>
      <c r="E89" t="s">
        <v>23</v>
      </c>
      <c r="F89" t="s">
        <v>24</v>
      </c>
      <c r="G89">
        <v>14500</v>
      </c>
      <c r="H89">
        <v>2000</v>
      </c>
      <c r="I89">
        <f>YEAR(Table7[[#This Row],[Order_Date]])</f>
        <v>2024</v>
      </c>
      <c r="J89" t="str">
        <f>TEXT(Table7[[#This Row],[Order_Date]],"mmm")</f>
        <v>Jun</v>
      </c>
      <c r="K89" s="5">
        <v>0.13793103448275862</v>
      </c>
    </row>
    <row r="90" spans="1:11" x14ac:dyDescent="0.3">
      <c r="A90" s="3">
        <v>45450</v>
      </c>
      <c r="B90" t="s">
        <v>25</v>
      </c>
      <c r="C90" t="s">
        <v>47</v>
      </c>
      <c r="D90" t="s">
        <v>81</v>
      </c>
      <c r="E90" t="s">
        <v>18</v>
      </c>
      <c r="F90" t="s">
        <v>28</v>
      </c>
      <c r="G90">
        <v>58000</v>
      </c>
      <c r="H90">
        <v>8400</v>
      </c>
      <c r="I90">
        <f>YEAR(Table7[[#This Row],[Order_Date]])</f>
        <v>2024</v>
      </c>
      <c r="J90" t="str">
        <f>TEXT(Table7[[#This Row],[Order_Date]],"mmm")</f>
        <v>Jun</v>
      </c>
      <c r="K90" s="5">
        <v>0.14482758620689656</v>
      </c>
    </row>
    <row r="91" spans="1:11" x14ac:dyDescent="0.3">
      <c r="A91" s="3">
        <v>45481</v>
      </c>
      <c r="B91" t="s">
        <v>29</v>
      </c>
      <c r="C91" t="s">
        <v>49</v>
      </c>
      <c r="D91" t="s">
        <v>82</v>
      </c>
      <c r="E91" t="s">
        <v>23</v>
      </c>
      <c r="F91" t="s">
        <v>44</v>
      </c>
      <c r="G91">
        <v>33000</v>
      </c>
      <c r="H91">
        <v>4700</v>
      </c>
      <c r="I91">
        <f>YEAR(Table7[[#This Row],[Order_Date]])</f>
        <v>2024</v>
      </c>
      <c r="J91" t="str">
        <f>TEXT(Table7[[#This Row],[Order_Date]],"mmm")</f>
        <v>Jul</v>
      </c>
      <c r="K91" s="5">
        <v>0.14242424242424243</v>
      </c>
    </row>
    <row r="92" spans="1:11" x14ac:dyDescent="0.3">
      <c r="A92" s="3">
        <v>45482</v>
      </c>
      <c r="B92" t="s">
        <v>33</v>
      </c>
      <c r="C92" t="s">
        <v>42</v>
      </c>
      <c r="D92" t="s">
        <v>83</v>
      </c>
      <c r="E92" t="s">
        <v>18</v>
      </c>
      <c r="F92" t="s">
        <v>36</v>
      </c>
      <c r="G92">
        <v>39000</v>
      </c>
      <c r="H92">
        <v>5800</v>
      </c>
      <c r="I92">
        <f>YEAR(Table7[[#This Row],[Order_Date]])</f>
        <v>2024</v>
      </c>
      <c r="J92" t="str">
        <f>TEXT(Table7[[#This Row],[Order_Date]],"mmm")</f>
        <v>Jul</v>
      </c>
      <c r="K92" s="5">
        <v>0.14871794871794872</v>
      </c>
    </row>
    <row r="93" spans="1:11" x14ac:dyDescent="0.3">
      <c r="A93" s="3">
        <v>45483</v>
      </c>
      <c r="B93" t="s">
        <v>15</v>
      </c>
      <c r="C93" t="s">
        <v>16</v>
      </c>
      <c r="D93" t="s">
        <v>20</v>
      </c>
      <c r="E93" t="s">
        <v>18</v>
      </c>
      <c r="F93" t="s">
        <v>19</v>
      </c>
      <c r="G93">
        <v>29500</v>
      </c>
      <c r="H93">
        <v>4800</v>
      </c>
      <c r="I93">
        <f>YEAR(Table7[[#This Row],[Order_Date]])</f>
        <v>2024</v>
      </c>
      <c r="J93" t="str">
        <f>TEXT(Table7[[#This Row],[Order_Date]],"mmm")</f>
        <v>Jul</v>
      </c>
      <c r="K93" s="5">
        <v>0.16271186440677965</v>
      </c>
    </row>
    <row r="94" spans="1:11" x14ac:dyDescent="0.3">
      <c r="A94" s="3">
        <v>45484</v>
      </c>
      <c r="B94" t="s">
        <v>15</v>
      </c>
      <c r="C94" t="s">
        <v>21</v>
      </c>
      <c r="D94" t="s">
        <v>84</v>
      </c>
      <c r="E94" t="s">
        <v>23</v>
      </c>
      <c r="F94" t="s">
        <v>32</v>
      </c>
      <c r="G94">
        <v>17500</v>
      </c>
      <c r="H94">
        <v>2500</v>
      </c>
      <c r="I94">
        <f>YEAR(Table7[[#This Row],[Order_Date]])</f>
        <v>2024</v>
      </c>
      <c r="J94" t="str">
        <f>TEXT(Table7[[#This Row],[Order_Date]],"mmm")</f>
        <v>Jul</v>
      </c>
      <c r="K94" s="5">
        <v>0.14285714285714285</v>
      </c>
    </row>
    <row r="95" spans="1:11" x14ac:dyDescent="0.3">
      <c r="A95" s="3">
        <v>45485</v>
      </c>
      <c r="B95" t="s">
        <v>25</v>
      </c>
      <c r="C95" t="s">
        <v>3</v>
      </c>
      <c r="D95" t="s">
        <v>85</v>
      </c>
      <c r="E95" t="s">
        <v>18</v>
      </c>
      <c r="F95" t="s">
        <v>28</v>
      </c>
      <c r="G95">
        <v>57000</v>
      </c>
      <c r="H95">
        <v>8300</v>
      </c>
      <c r="I95">
        <f>YEAR(Table7[[#This Row],[Order_Date]])</f>
        <v>2024</v>
      </c>
      <c r="J95" t="str">
        <f>TEXT(Table7[[#This Row],[Order_Date]],"mmm")</f>
        <v>Jul</v>
      </c>
      <c r="K95" s="5">
        <v>0.14561403508771931</v>
      </c>
    </row>
    <row r="96" spans="1:11" x14ac:dyDescent="0.3">
      <c r="A96" s="3">
        <v>45486</v>
      </c>
      <c r="B96" t="s">
        <v>29</v>
      </c>
      <c r="C96" t="s">
        <v>30</v>
      </c>
      <c r="D96" t="s">
        <v>86</v>
      </c>
      <c r="E96" t="s">
        <v>23</v>
      </c>
      <c r="F96" t="s">
        <v>40</v>
      </c>
      <c r="G96">
        <v>61000</v>
      </c>
      <c r="H96">
        <v>9100</v>
      </c>
      <c r="I96">
        <f>YEAR(Table7[[#This Row],[Order_Date]])</f>
        <v>2024</v>
      </c>
      <c r="J96" t="str">
        <f>TEXT(Table7[[#This Row],[Order_Date]],"mmm")</f>
        <v>Jul</v>
      </c>
      <c r="K96" s="5">
        <v>0.14918032786885246</v>
      </c>
    </row>
    <row r="97" spans="1:11" x14ac:dyDescent="0.3">
      <c r="A97" s="3">
        <v>45487</v>
      </c>
      <c r="B97" t="s">
        <v>33</v>
      </c>
      <c r="C97" t="s">
        <v>67</v>
      </c>
      <c r="D97" t="s">
        <v>87</v>
      </c>
      <c r="E97" t="s">
        <v>18</v>
      </c>
      <c r="F97" t="s">
        <v>19</v>
      </c>
      <c r="G97">
        <v>25500</v>
      </c>
      <c r="H97">
        <v>4000</v>
      </c>
      <c r="I97">
        <f>YEAR(Table7[[#This Row],[Order_Date]])</f>
        <v>2024</v>
      </c>
      <c r="J97" t="str">
        <f>TEXT(Table7[[#This Row],[Order_Date]],"mmm")</f>
        <v>Jul</v>
      </c>
      <c r="K97" s="5">
        <v>0.15686274509803921</v>
      </c>
    </row>
    <row r="98" spans="1:11" x14ac:dyDescent="0.3">
      <c r="A98" s="3">
        <v>45488</v>
      </c>
      <c r="B98" t="s">
        <v>15</v>
      </c>
      <c r="C98" t="s">
        <v>16</v>
      </c>
      <c r="D98" t="s">
        <v>88</v>
      </c>
      <c r="E98" t="s">
        <v>18</v>
      </c>
      <c r="F98" t="s">
        <v>36</v>
      </c>
      <c r="G98">
        <v>43000</v>
      </c>
      <c r="H98">
        <v>6500</v>
      </c>
      <c r="I98">
        <f>YEAR(Table7[[#This Row],[Order_Date]])</f>
        <v>2024</v>
      </c>
      <c r="J98" t="str">
        <f>TEXT(Table7[[#This Row],[Order_Date]],"mmm")</f>
        <v>Jul</v>
      </c>
      <c r="K98" s="5">
        <v>0.15116279069767441</v>
      </c>
    </row>
    <row r="99" spans="1:11" x14ac:dyDescent="0.3">
      <c r="A99" s="3">
        <v>45489</v>
      </c>
      <c r="B99" t="s">
        <v>15</v>
      </c>
      <c r="C99" t="s">
        <v>21</v>
      </c>
      <c r="D99" t="s">
        <v>89</v>
      </c>
      <c r="E99" t="s">
        <v>23</v>
      </c>
      <c r="F99" t="s">
        <v>44</v>
      </c>
      <c r="G99">
        <v>34000</v>
      </c>
      <c r="H99">
        <v>4800</v>
      </c>
      <c r="I99">
        <f>YEAR(Table7[[#This Row],[Order_Date]])</f>
        <v>2024</v>
      </c>
      <c r="J99" t="str">
        <f>TEXT(Table7[[#This Row],[Order_Date]],"mmm")</f>
        <v>Jul</v>
      </c>
      <c r="K99" s="5">
        <v>0.14117647058823529</v>
      </c>
    </row>
    <row r="100" spans="1:11" x14ac:dyDescent="0.3">
      <c r="A100" s="3">
        <v>45521</v>
      </c>
      <c r="B100" t="s">
        <v>25</v>
      </c>
      <c r="C100" t="s">
        <v>57</v>
      </c>
      <c r="D100" t="s">
        <v>90</v>
      </c>
      <c r="E100" t="s">
        <v>18</v>
      </c>
      <c r="F100" t="s">
        <v>28</v>
      </c>
      <c r="G100">
        <v>54500</v>
      </c>
      <c r="H100">
        <v>8000</v>
      </c>
      <c r="I100">
        <f>YEAR(Table7[[#This Row],[Order_Date]])</f>
        <v>2024</v>
      </c>
      <c r="J100" t="str">
        <f>TEXT(Table7[[#This Row],[Order_Date]],"mmm")</f>
        <v>Aug</v>
      </c>
      <c r="K100" s="5">
        <v>0.14678899082568808</v>
      </c>
    </row>
    <row r="101" spans="1:11" x14ac:dyDescent="0.3">
      <c r="A101" s="3">
        <v>45522</v>
      </c>
      <c r="B101" t="s">
        <v>29</v>
      </c>
      <c r="C101" t="s">
        <v>65</v>
      </c>
      <c r="D101" t="s">
        <v>91</v>
      </c>
      <c r="E101" t="s">
        <v>23</v>
      </c>
      <c r="F101" t="s">
        <v>24</v>
      </c>
      <c r="G101">
        <v>16500</v>
      </c>
      <c r="H101">
        <v>2400</v>
      </c>
      <c r="I101">
        <f>YEAR(Table7[[#This Row],[Order_Date]])</f>
        <v>2024</v>
      </c>
      <c r="J101" t="str">
        <f>TEXT(Table7[[#This Row],[Order_Date]],"mmm")</f>
        <v>Aug</v>
      </c>
      <c r="K101" s="5">
        <v>0.14545454545454545</v>
      </c>
    </row>
    <row r="102" spans="1:11" x14ac:dyDescent="0.3">
      <c r="A102" s="3">
        <v>45523</v>
      </c>
      <c r="B102" t="s">
        <v>33</v>
      </c>
      <c r="C102" t="s">
        <v>51</v>
      </c>
      <c r="D102" t="s">
        <v>92</v>
      </c>
      <c r="E102" t="s">
        <v>18</v>
      </c>
      <c r="F102" t="s">
        <v>19</v>
      </c>
      <c r="G102">
        <v>23500</v>
      </c>
      <c r="H102">
        <v>3700</v>
      </c>
      <c r="I102">
        <f>YEAR(Table7[[#This Row],[Order_Date]])</f>
        <v>2024</v>
      </c>
      <c r="J102" t="str">
        <f>TEXT(Table7[[#This Row],[Order_Date]],"mmm")</f>
        <v>Aug</v>
      </c>
      <c r="K102" s="5">
        <v>0.1574468085106383</v>
      </c>
    </row>
    <row r="103" spans="1:11" x14ac:dyDescent="0.3">
      <c r="A103" s="3">
        <v>45524</v>
      </c>
      <c r="B103" t="s">
        <v>15</v>
      </c>
      <c r="C103" t="s">
        <v>16</v>
      </c>
      <c r="D103" t="s">
        <v>93</v>
      </c>
      <c r="E103" t="s">
        <v>18</v>
      </c>
      <c r="F103" t="s">
        <v>19</v>
      </c>
      <c r="G103">
        <v>26000</v>
      </c>
      <c r="H103">
        <v>4100</v>
      </c>
      <c r="I103">
        <f>YEAR(Table7[[#This Row],[Order_Date]])</f>
        <v>2024</v>
      </c>
      <c r="J103" t="str">
        <f>TEXT(Table7[[#This Row],[Order_Date]],"mmm")</f>
        <v>Aug</v>
      </c>
      <c r="K103" s="5">
        <v>0.15769230769230769</v>
      </c>
    </row>
    <row r="104" spans="1:11" x14ac:dyDescent="0.3">
      <c r="A104" s="3">
        <v>45525</v>
      </c>
      <c r="B104" t="s">
        <v>15</v>
      </c>
      <c r="C104" t="s">
        <v>21</v>
      </c>
      <c r="D104" t="s">
        <v>94</v>
      </c>
      <c r="E104" t="s">
        <v>23</v>
      </c>
      <c r="F104" t="s">
        <v>32</v>
      </c>
      <c r="G104">
        <v>18500</v>
      </c>
      <c r="H104">
        <v>2700</v>
      </c>
      <c r="I104">
        <f>YEAR(Table7[[#This Row],[Order_Date]])</f>
        <v>2024</v>
      </c>
      <c r="J104" t="str">
        <f>TEXT(Table7[[#This Row],[Order_Date]],"mmm")</f>
        <v>Aug</v>
      </c>
      <c r="K104" s="5">
        <v>0.14594594594594595</v>
      </c>
    </row>
    <row r="105" spans="1:11" x14ac:dyDescent="0.3">
      <c r="A105" s="3">
        <v>45526</v>
      </c>
      <c r="B105" t="s">
        <v>25</v>
      </c>
      <c r="C105" t="s">
        <v>55</v>
      </c>
      <c r="D105" t="s">
        <v>95</v>
      </c>
      <c r="E105" t="s">
        <v>18</v>
      </c>
      <c r="F105" t="s">
        <v>36</v>
      </c>
      <c r="G105">
        <v>40500</v>
      </c>
      <c r="H105">
        <v>6000</v>
      </c>
      <c r="I105">
        <f>YEAR(Table7[[#This Row],[Order_Date]])</f>
        <v>2024</v>
      </c>
      <c r="J105" t="str">
        <f>TEXT(Table7[[#This Row],[Order_Date]],"mmm")</f>
        <v>Aug</v>
      </c>
      <c r="K105" s="5">
        <v>0.14814814814814814</v>
      </c>
    </row>
    <row r="106" spans="1:11" x14ac:dyDescent="0.3">
      <c r="A106" s="3">
        <v>45527</v>
      </c>
      <c r="B106" t="s">
        <v>29</v>
      </c>
      <c r="C106" t="s">
        <v>57</v>
      </c>
      <c r="D106" t="s">
        <v>96</v>
      </c>
      <c r="E106" t="s">
        <v>23</v>
      </c>
      <c r="F106" t="s">
        <v>44</v>
      </c>
      <c r="G106">
        <v>32000</v>
      </c>
      <c r="H106">
        <v>4600</v>
      </c>
      <c r="I106">
        <f>YEAR(Table7[[#This Row],[Order_Date]])</f>
        <v>2024</v>
      </c>
      <c r="J106" t="str">
        <f>TEXT(Table7[[#This Row],[Order_Date]],"mmm")</f>
        <v>Aug</v>
      </c>
      <c r="K106" s="5">
        <v>0.14374999999999999</v>
      </c>
    </row>
    <row r="107" spans="1:11" x14ac:dyDescent="0.3">
      <c r="A107" s="3">
        <v>45559</v>
      </c>
      <c r="B107" t="s">
        <v>33</v>
      </c>
      <c r="C107" t="s">
        <v>59</v>
      </c>
      <c r="D107" t="s">
        <v>97</v>
      </c>
      <c r="E107" t="s">
        <v>18</v>
      </c>
      <c r="F107" t="s">
        <v>28</v>
      </c>
      <c r="G107">
        <v>51500</v>
      </c>
      <c r="H107">
        <v>7500</v>
      </c>
      <c r="I107">
        <f>YEAR(Table7[[#This Row],[Order_Date]])</f>
        <v>2024</v>
      </c>
      <c r="J107" t="str">
        <f>TEXT(Table7[[#This Row],[Order_Date]],"mmm")</f>
        <v>Sep</v>
      </c>
      <c r="K107" s="5">
        <v>0.14563106796116504</v>
      </c>
    </row>
    <row r="108" spans="1:11" x14ac:dyDescent="0.3">
      <c r="A108" s="3">
        <v>45560</v>
      </c>
      <c r="B108" t="s">
        <v>15</v>
      </c>
      <c r="C108" t="s">
        <v>16</v>
      </c>
      <c r="D108" t="s">
        <v>98</v>
      </c>
      <c r="E108" t="s">
        <v>18</v>
      </c>
      <c r="F108" t="s">
        <v>19</v>
      </c>
      <c r="G108">
        <v>28500</v>
      </c>
      <c r="H108">
        <v>4500</v>
      </c>
      <c r="I108">
        <f>YEAR(Table7[[#This Row],[Order_Date]])</f>
        <v>2024</v>
      </c>
      <c r="J108" t="str">
        <f>TEXT(Table7[[#This Row],[Order_Date]],"mmm")</f>
        <v>Sep</v>
      </c>
      <c r="K108" s="5">
        <v>0.15789473684210525</v>
      </c>
    </row>
    <row r="109" spans="1:11" x14ac:dyDescent="0.3">
      <c r="A109" s="3">
        <v>45561</v>
      </c>
      <c r="B109" t="s">
        <v>15</v>
      </c>
      <c r="C109" t="s">
        <v>21</v>
      </c>
      <c r="D109" t="s">
        <v>99</v>
      </c>
      <c r="E109" t="s">
        <v>23</v>
      </c>
      <c r="F109" t="s">
        <v>24</v>
      </c>
      <c r="G109">
        <v>15000</v>
      </c>
      <c r="H109">
        <v>2200</v>
      </c>
      <c r="I109">
        <f>YEAR(Table7[[#This Row],[Order_Date]])</f>
        <v>2024</v>
      </c>
      <c r="J109" t="str">
        <f>TEXT(Table7[[#This Row],[Order_Date]],"mmm")</f>
        <v>Sep</v>
      </c>
      <c r="K109" s="5">
        <v>0.14666666666666667</v>
      </c>
    </row>
    <row r="110" spans="1:11" x14ac:dyDescent="0.3">
      <c r="A110" s="3">
        <v>45562</v>
      </c>
      <c r="B110" t="s">
        <v>25</v>
      </c>
      <c r="C110" t="s">
        <v>63</v>
      </c>
      <c r="D110" t="s">
        <v>100</v>
      </c>
      <c r="E110" t="s">
        <v>18</v>
      </c>
      <c r="F110" t="s">
        <v>28</v>
      </c>
      <c r="G110">
        <v>52500</v>
      </c>
      <c r="H110">
        <v>7700</v>
      </c>
      <c r="I110">
        <f>YEAR(Table7[[#This Row],[Order_Date]])</f>
        <v>2024</v>
      </c>
      <c r="J110" t="str">
        <f>TEXT(Table7[[#This Row],[Order_Date]],"mmm")</f>
        <v>Sep</v>
      </c>
      <c r="K110" s="5">
        <v>0.14666666666666667</v>
      </c>
    </row>
    <row r="111" spans="1:11" x14ac:dyDescent="0.3">
      <c r="A111" s="3">
        <v>45563</v>
      </c>
      <c r="B111" t="s">
        <v>29</v>
      </c>
      <c r="C111" t="s">
        <v>73</v>
      </c>
      <c r="D111" t="s">
        <v>101</v>
      </c>
      <c r="E111" t="s">
        <v>23</v>
      </c>
      <c r="F111" t="s">
        <v>32</v>
      </c>
      <c r="G111">
        <v>19500</v>
      </c>
      <c r="H111">
        <v>2900</v>
      </c>
      <c r="I111">
        <f>YEAR(Table7[[#This Row],[Order_Date]])</f>
        <v>2024</v>
      </c>
      <c r="J111" t="str">
        <f>TEXT(Table7[[#This Row],[Order_Date]],"mmm")</f>
        <v>Sep</v>
      </c>
      <c r="K111" s="5">
        <v>0.14871794871794872</v>
      </c>
    </row>
    <row r="112" spans="1:11" x14ac:dyDescent="0.3">
      <c r="A112" s="3">
        <v>45564</v>
      </c>
      <c r="B112" t="s">
        <v>33</v>
      </c>
      <c r="C112" t="s">
        <v>75</v>
      </c>
      <c r="D112" t="s">
        <v>96</v>
      </c>
      <c r="E112" t="s">
        <v>18</v>
      </c>
      <c r="F112" t="s">
        <v>19</v>
      </c>
      <c r="G112">
        <v>24500</v>
      </c>
      <c r="H112">
        <v>3900</v>
      </c>
      <c r="I112">
        <f>YEAR(Table7[[#This Row],[Order_Date]])</f>
        <v>2024</v>
      </c>
      <c r="J112" t="str">
        <f>TEXT(Table7[[#This Row],[Order_Date]],"mmm")</f>
        <v>Sep</v>
      </c>
      <c r="K112" s="5">
        <v>0.15918367346938775</v>
      </c>
    </row>
    <row r="113" spans="1:11" x14ac:dyDescent="0.3">
      <c r="A113" s="3">
        <v>45566</v>
      </c>
      <c r="B113" t="s">
        <v>15</v>
      </c>
      <c r="C113" t="s">
        <v>16</v>
      </c>
      <c r="D113" t="s">
        <v>17</v>
      </c>
      <c r="E113" t="s">
        <v>18</v>
      </c>
      <c r="F113" t="s">
        <v>19</v>
      </c>
      <c r="G113">
        <v>30000</v>
      </c>
      <c r="H113">
        <v>5000</v>
      </c>
      <c r="I113">
        <f>YEAR(Table7[[#This Row],[Order_Date]])</f>
        <v>2024</v>
      </c>
      <c r="J113" t="str">
        <f>TEXT(Table7[[#This Row],[Order_Date]],"mmm")</f>
        <v>Oct</v>
      </c>
      <c r="K113" s="5">
        <v>0.16666666666666666</v>
      </c>
    </row>
    <row r="114" spans="1:11" x14ac:dyDescent="0.3">
      <c r="A114" s="3">
        <v>45567</v>
      </c>
      <c r="B114" t="s">
        <v>15</v>
      </c>
      <c r="C114" t="s">
        <v>16</v>
      </c>
      <c r="D114" t="s">
        <v>20</v>
      </c>
      <c r="E114" t="s">
        <v>18</v>
      </c>
      <c r="F114" t="s">
        <v>19</v>
      </c>
      <c r="G114">
        <v>28000</v>
      </c>
      <c r="H114">
        <v>4500</v>
      </c>
      <c r="I114">
        <f>YEAR(Table7[[#This Row],[Order_Date]])</f>
        <v>2024</v>
      </c>
      <c r="J114" t="str">
        <f>TEXT(Table7[[#This Row],[Order_Date]],"mmm")</f>
        <v>Oct</v>
      </c>
      <c r="K114" s="5">
        <v>0.16071428571428573</v>
      </c>
    </row>
    <row r="115" spans="1:11" x14ac:dyDescent="0.3">
      <c r="A115" s="3">
        <v>45568</v>
      </c>
      <c r="B115" t="s">
        <v>15</v>
      </c>
      <c r="C115" t="s">
        <v>21</v>
      </c>
      <c r="D115" t="s">
        <v>22</v>
      </c>
      <c r="E115" t="s">
        <v>23</v>
      </c>
      <c r="F115" t="s">
        <v>24</v>
      </c>
      <c r="G115">
        <v>15000</v>
      </c>
      <c r="H115">
        <v>2000</v>
      </c>
      <c r="I115">
        <f>YEAR(Table7[[#This Row],[Order_Date]])</f>
        <v>2024</v>
      </c>
      <c r="J115" t="str">
        <f>TEXT(Table7[[#This Row],[Order_Date]],"mmm")</f>
        <v>Oct</v>
      </c>
      <c r="K115" s="5">
        <v>0.13333333333333333</v>
      </c>
    </row>
    <row r="116" spans="1:11" x14ac:dyDescent="0.3">
      <c r="A116" s="3">
        <v>45569</v>
      </c>
      <c r="B116" t="s">
        <v>25</v>
      </c>
      <c r="C116" t="s">
        <v>26</v>
      </c>
      <c r="D116" t="s">
        <v>27</v>
      </c>
      <c r="E116" t="s">
        <v>18</v>
      </c>
      <c r="F116" t="s">
        <v>28</v>
      </c>
      <c r="G116">
        <v>55000</v>
      </c>
      <c r="H116">
        <v>8000</v>
      </c>
      <c r="I116">
        <f>YEAR(Table7[[#This Row],[Order_Date]])</f>
        <v>2024</v>
      </c>
      <c r="J116" t="str">
        <f>TEXT(Table7[[#This Row],[Order_Date]],"mmm")</f>
        <v>Oct</v>
      </c>
      <c r="K116" s="5">
        <v>0.14545454545454545</v>
      </c>
    </row>
    <row r="117" spans="1:11" x14ac:dyDescent="0.3">
      <c r="A117" s="3">
        <v>45570</v>
      </c>
      <c r="B117" t="s">
        <v>29</v>
      </c>
      <c r="C117" t="s">
        <v>30</v>
      </c>
      <c r="D117" t="s">
        <v>31</v>
      </c>
      <c r="E117" t="s">
        <v>23</v>
      </c>
      <c r="F117" t="s">
        <v>32</v>
      </c>
      <c r="G117">
        <v>20000</v>
      </c>
      <c r="H117">
        <v>3000</v>
      </c>
      <c r="I117">
        <f>YEAR(Table7[[#This Row],[Order_Date]])</f>
        <v>2024</v>
      </c>
      <c r="J117" t="str">
        <f>TEXT(Table7[[#This Row],[Order_Date]],"mmm")</f>
        <v>Oct</v>
      </c>
      <c r="K117" s="5">
        <v>0.15</v>
      </c>
    </row>
    <row r="118" spans="1:11" x14ac:dyDescent="0.3">
      <c r="A118" s="3">
        <v>45598</v>
      </c>
      <c r="B118" t="s">
        <v>33</v>
      </c>
      <c r="C118" t="s">
        <v>34</v>
      </c>
      <c r="D118" t="s">
        <v>35</v>
      </c>
      <c r="E118" t="s">
        <v>18</v>
      </c>
      <c r="F118" t="s">
        <v>36</v>
      </c>
      <c r="G118">
        <v>40000</v>
      </c>
      <c r="H118">
        <v>6000</v>
      </c>
      <c r="I118">
        <f>YEAR(Table7[[#This Row],[Order_Date]])</f>
        <v>2024</v>
      </c>
      <c r="J118" t="str">
        <f>TEXT(Table7[[#This Row],[Order_Date]],"mmm")</f>
        <v>Nov</v>
      </c>
      <c r="K118" s="5">
        <v>0.15</v>
      </c>
    </row>
    <row r="119" spans="1:11" x14ac:dyDescent="0.3">
      <c r="A119" s="3">
        <v>45599</v>
      </c>
      <c r="B119" t="s">
        <v>15</v>
      </c>
      <c r="C119" t="s">
        <v>21</v>
      </c>
      <c r="D119" t="s">
        <v>37</v>
      </c>
      <c r="E119" t="s">
        <v>18</v>
      </c>
      <c r="F119" t="s">
        <v>38</v>
      </c>
      <c r="G119">
        <v>8000</v>
      </c>
      <c r="H119">
        <v>1500</v>
      </c>
      <c r="I119">
        <f>YEAR(Table7[[#This Row],[Order_Date]])</f>
        <v>2024</v>
      </c>
      <c r="J119" t="str">
        <f>TEXT(Table7[[#This Row],[Order_Date]],"mmm")</f>
        <v>Nov</v>
      </c>
      <c r="K119" s="5">
        <v>0.1875</v>
      </c>
    </row>
    <row r="120" spans="1:11" x14ac:dyDescent="0.3">
      <c r="A120" s="3">
        <v>45600</v>
      </c>
      <c r="B120" t="s">
        <v>25</v>
      </c>
      <c r="C120" t="s">
        <v>3</v>
      </c>
      <c r="D120" t="s">
        <v>39</v>
      </c>
      <c r="E120" t="s">
        <v>23</v>
      </c>
      <c r="F120" t="s">
        <v>40</v>
      </c>
      <c r="G120">
        <v>60000</v>
      </c>
      <c r="H120">
        <v>9000</v>
      </c>
      <c r="I120">
        <f>YEAR(Table7[[#This Row],[Order_Date]])</f>
        <v>2024</v>
      </c>
      <c r="J120" t="str">
        <f>TEXT(Table7[[#This Row],[Order_Date]],"mmm")</f>
        <v>Nov</v>
      </c>
      <c r="K120" s="5">
        <v>0.15</v>
      </c>
    </row>
    <row r="121" spans="1:11" x14ac:dyDescent="0.3">
      <c r="A121" s="3">
        <v>45601</v>
      </c>
      <c r="B121" t="s">
        <v>29</v>
      </c>
      <c r="C121" t="s">
        <v>30</v>
      </c>
      <c r="D121" t="s">
        <v>41</v>
      </c>
      <c r="E121" t="s">
        <v>18</v>
      </c>
      <c r="F121" t="s">
        <v>28</v>
      </c>
      <c r="G121">
        <v>52000</v>
      </c>
      <c r="H121">
        <v>7500</v>
      </c>
      <c r="I121">
        <f>YEAR(Table7[[#This Row],[Order_Date]])</f>
        <v>2024</v>
      </c>
      <c r="J121" t="str">
        <f>TEXT(Table7[[#This Row],[Order_Date]],"mmm")</f>
        <v>Nov</v>
      </c>
      <c r="K121" s="5">
        <v>0.14423076923076922</v>
      </c>
    </row>
    <row r="122" spans="1:11" x14ac:dyDescent="0.3">
      <c r="A122" s="3">
        <v>45602</v>
      </c>
      <c r="B122" t="s">
        <v>33</v>
      </c>
      <c r="C122" t="s">
        <v>42</v>
      </c>
      <c r="D122" t="s">
        <v>43</v>
      </c>
      <c r="E122" t="s">
        <v>23</v>
      </c>
      <c r="F122" t="s">
        <v>44</v>
      </c>
      <c r="G122">
        <v>30000</v>
      </c>
      <c r="H122">
        <v>4000</v>
      </c>
      <c r="I122">
        <f>YEAR(Table7[[#This Row],[Order_Date]])</f>
        <v>2024</v>
      </c>
      <c r="J122" t="str">
        <f>TEXT(Table7[[#This Row],[Order_Date]],"mmm")</f>
        <v>Nov</v>
      </c>
      <c r="K122" s="5">
        <v>0.13333333333333333</v>
      </c>
    </row>
    <row r="123" spans="1:11" x14ac:dyDescent="0.3">
      <c r="A123" s="3">
        <v>45628</v>
      </c>
      <c r="B123" t="s">
        <v>15</v>
      </c>
      <c r="C123" t="s">
        <v>21</v>
      </c>
      <c r="D123" t="s">
        <v>22</v>
      </c>
      <c r="E123" t="s">
        <v>23</v>
      </c>
      <c r="F123" t="s">
        <v>40</v>
      </c>
      <c r="G123">
        <v>62000</v>
      </c>
      <c r="H123">
        <v>9200</v>
      </c>
      <c r="I123">
        <f>YEAR(Table7[[#This Row],[Order_Date]])</f>
        <v>2024</v>
      </c>
      <c r="J123" t="str">
        <f>TEXT(Table7[[#This Row],[Order_Date]],"mmm")</f>
        <v>Dec</v>
      </c>
      <c r="K123" s="5">
        <v>0.14838709677419354</v>
      </c>
    </row>
    <row r="124" spans="1:11" x14ac:dyDescent="0.3">
      <c r="A124" s="3">
        <v>45629</v>
      </c>
      <c r="B124" t="s">
        <v>25</v>
      </c>
      <c r="C124" t="s">
        <v>26</v>
      </c>
      <c r="D124" t="s">
        <v>27</v>
      </c>
      <c r="E124" t="s">
        <v>18</v>
      </c>
      <c r="F124" t="s">
        <v>28</v>
      </c>
      <c r="G124">
        <v>56000</v>
      </c>
      <c r="H124">
        <v>8100</v>
      </c>
      <c r="I124">
        <f>YEAR(Table7[[#This Row],[Order_Date]])</f>
        <v>2024</v>
      </c>
      <c r="J124" t="str">
        <f>TEXT(Table7[[#This Row],[Order_Date]],"mmm")</f>
        <v>Dec</v>
      </c>
      <c r="K124" s="5">
        <v>0.14464285714285716</v>
      </c>
    </row>
    <row r="125" spans="1:11" x14ac:dyDescent="0.3">
      <c r="A125" s="3">
        <v>45630</v>
      </c>
      <c r="B125" t="s">
        <v>29</v>
      </c>
      <c r="C125" t="s">
        <v>30</v>
      </c>
      <c r="D125" t="s">
        <v>78</v>
      </c>
      <c r="E125" t="s">
        <v>23</v>
      </c>
      <c r="F125" t="s">
        <v>32</v>
      </c>
      <c r="G125">
        <v>21000</v>
      </c>
      <c r="H125">
        <v>3100</v>
      </c>
      <c r="I125">
        <f>YEAR(Table7[[#This Row],[Order_Date]])</f>
        <v>2024</v>
      </c>
      <c r="J125" t="str">
        <f>TEXT(Table7[[#This Row],[Order_Date]],"mmm")</f>
        <v>Dec</v>
      </c>
      <c r="K125" s="5">
        <v>0.14761904761904762</v>
      </c>
    </row>
    <row r="126" spans="1:11" x14ac:dyDescent="0.3">
      <c r="A126" s="3">
        <v>45631</v>
      </c>
      <c r="B126" t="s">
        <v>33</v>
      </c>
      <c r="C126" t="s">
        <v>34</v>
      </c>
      <c r="D126" t="s">
        <v>79</v>
      </c>
      <c r="E126" t="s">
        <v>18</v>
      </c>
      <c r="F126" t="s">
        <v>19</v>
      </c>
      <c r="G126">
        <v>27000</v>
      </c>
      <c r="H126">
        <v>4100</v>
      </c>
      <c r="I126">
        <f>YEAR(Table7[[#This Row],[Order_Date]])</f>
        <v>2024</v>
      </c>
      <c r="J126" t="str">
        <f>TEXT(Table7[[#This Row],[Order_Date]],"mmm")</f>
        <v>Dec</v>
      </c>
      <c r="K126" s="5">
        <v>0.15185185185185185</v>
      </c>
    </row>
    <row r="127" spans="1:11" x14ac:dyDescent="0.3">
      <c r="A127" s="3">
        <v>45632</v>
      </c>
      <c r="B127" t="s">
        <v>15</v>
      </c>
      <c r="C127" t="s">
        <v>16</v>
      </c>
      <c r="D127" t="s">
        <v>17</v>
      </c>
      <c r="E127" t="s">
        <v>18</v>
      </c>
      <c r="F127" t="s">
        <v>19</v>
      </c>
      <c r="G127">
        <v>31000</v>
      </c>
      <c r="H127">
        <v>5200</v>
      </c>
      <c r="I127">
        <f>YEAR(Table7[[#This Row],[Order_Date]])</f>
        <v>2024</v>
      </c>
      <c r="J127" t="str">
        <f>TEXT(Table7[[#This Row],[Order_Date]],"mmm")</f>
        <v>Dec</v>
      </c>
      <c r="K127" s="5">
        <v>0.16774193548387098</v>
      </c>
    </row>
    <row r="128" spans="1:11" x14ac:dyDescent="0.3">
      <c r="A128" s="3">
        <v>45633</v>
      </c>
      <c r="B128" t="s">
        <v>15</v>
      </c>
      <c r="C128" t="s">
        <v>21</v>
      </c>
      <c r="D128" t="s">
        <v>80</v>
      </c>
      <c r="E128" t="s">
        <v>23</v>
      </c>
      <c r="F128" t="s">
        <v>24</v>
      </c>
      <c r="G128">
        <v>14500</v>
      </c>
      <c r="H128">
        <v>2000</v>
      </c>
      <c r="I128">
        <f>YEAR(Table7[[#This Row],[Order_Date]])</f>
        <v>2024</v>
      </c>
      <c r="J128" t="str">
        <f>TEXT(Table7[[#This Row],[Order_Date]],"mmm")</f>
        <v>Dec</v>
      </c>
      <c r="K128" s="5">
        <v>0.13793103448275862</v>
      </c>
    </row>
    <row r="129" spans="1:11" x14ac:dyDescent="0.3">
      <c r="A129" s="3">
        <v>45634</v>
      </c>
      <c r="B129" t="s">
        <v>25</v>
      </c>
      <c r="C129" t="s">
        <v>47</v>
      </c>
      <c r="D129" t="s">
        <v>81</v>
      </c>
      <c r="E129" t="s">
        <v>18</v>
      </c>
      <c r="F129" t="s">
        <v>28</v>
      </c>
      <c r="G129">
        <v>58000</v>
      </c>
      <c r="H129">
        <v>8400</v>
      </c>
      <c r="I129">
        <f>YEAR(Table7[[#This Row],[Order_Date]])</f>
        <v>2024</v>
      </c>
      <c r="J129" t="str">
        <f>TEXT(Table7[[#This Row],[Order_Date]],"mmm")</f>
        <v>Dec</v>
      </c>
      <c r="K129" s="5">
        <v>0.14482758620689656</v>
      </c>
    </row>
    <row r="130" spans="1:11" x14ac:dyDescent="0.3">
      <c r="A130" s="3">
        <v>45635</v>
      </c>
      <c r="B130" t="s">
        <v>29</v>
      </c>
      <c r="C130" t="s">
        <v>49</v>
      </c>
      <c r="D130" t="s">
        <v>82</v>
      </c>
      <c r="E130" t="s">
        <v>23</v>
      </c>
      <c r="F130" t="s">
        <v>44</v>
      </c>
      <c r="G130">
        <v>33000</v>
      </c>
      <c r="H130">
        <v>4700</v>
      </c>
      <c r="I130">
        <f>YEAR(Table7[[#This Row],[Order_Date]])</f>
        <v>2024</v>
      </c>
      <c r="J130" t="str">
        <f>TEXT(Table7[[#This Row],[Order_Date]],"mmm")</f>
        <v>Dec</v>
      </c>
      <c r="K130" s="5">
        <v>0.14242424242424243</v>
      </c>
    </row>
    <row r="131" spans="1:11" x14ac:dyDescent="0.3">
      <c r="A131" s="3">
        <v>45636</v>
      </c>
      <c r="B131" t="s">
        <v>33</v>
      </c>
      <c r="C131" t="s">
        <v>42</v>
      </c>
      <c r="D131" t="s">
        <v>83</v>
      </c>
      <c r="E131" t="s">
        <v>18</v>
      </c>
      <c r="F131" t="s">
        <v>36</v>
      </c>
      <c r="G131">
        <v>39000</v>
      </c>
      <c r="H131">
        <v>5800</v>
      </c>
      <c r="I131">
        <f>YEAR(Table7[[#This Row],[Order_Date]])</f>
        <v>2024</v>
      </c>
      <c r="J131" t="str">
        <f>TEXT(Table7[[#This Row],[Order_Date]],"mmm")</f>
        <v>Dec</v>
      </c>
      <c r="K131" s="5">
        <v>0.14871794871794872</v>
      </c>
    </row>
    <row r="132" spans="1:11" x14ac:dyDescent="0.3">
      <c r="A132" s="3">
        <v>45637</v>
      </c>
      <c r="B132" t="s">
        <v>15</v>
      </c>
      <c r="C132" t="s">
        <v>16</v>
      </c>
      <c r="D132" t="s">
        <v>20</v>
      </c>
      <c r="E132" t="s">
        <v>18</v>
      </c>
      <c r="F132" t="s">
        <v>19</v>
      </c>
      <c r="G132">
        <v>29500</v>
      </c>
      <c r="H132">
        <v>4800</v>
      </c>
      <c r="I132">
        <f>YEAR(Table7[[#This Row],[Order_Date]])</f>
        <v>2024</v>
      </c>
      <c r="J132" t="str">
        <f>TEXT(Table7[[#This Row],[Order_Date]],"mmm")</f>
        <v>Dec</v>
      </c>
      <c r="K132" s="5">
        <v>0.16271186440677965</v>
      </c>
    </row>
    <row r="133" spans="1:11" x14ac:dyDescent="0.3">
      <c r="A133" s="3">
        <v>45658</v>
      </c>
      <c r="B133" t="s">
        <v>15</v>
      </c>
      <c r="C133" t="s">
        <v>16</v>
      </c>
      <c r="D133" t="s">
        <v>17</v>
      </c>
      <c r="E133" t="s">
        <v>18</v>
      </c>
      <c r="F133" t="s">
        <v>19</v>
      </c>
      <c r="G133">
        <v>30000</v>
      </c>
      <c r="H133">
        <v>5000</v>
      </c>
      <c r="I133">
        <f>YEAR(Table7[[#This Row],[Order_Date]])</f>
        <v>2025</v>
      </c>
      <c r="J133" t="str">
        <f>TEXT(Table7[[#This Row],[Order_Date]],"mmm")</f>
        <v>Jan</v>
      </c>
      <c r="K133" s="5">
        <v>0.16666666666666666</v>
      </c>
    </row>
    <row r="134" spans="1:11" x14ac:dyDescent="0.3">
      <c r="A134" s="3">
        <v>45659</v>
      </c>
      <c r="B134" t="s">
        <v>15</v>
      </c>
      <c r="C134" t="s">
        <v>16</v>
      </c>
      <c r="D134" t="s">
        <v>20</v>
      </c>
      <c r="E134" t="s">
        <v>18</v>
      </c>
      <c r="F134" t="s">
        <v>19</v>
      </c>
      <c r="G134">
        <v>28000</v>
      </c>
      <c r="H134">
        <v>4500</v>
      </c>
      <c r="I134">
        <f>YEAR(Table7[[#This Row],[Order_Date]])</f>
        <v>2025</v>
      </c>
      <c r="J134" t="str">
        <f>TEXT(Table7[[#This Row],[Order_Date]],"mmm")</f>
        <v>Jan</v>
      </c>
      <c r="K134" s="5">
        <v>0.16071428571428573</v>
      </c>
    </row>
    <row r="135" spans="1:11" x14ac:dyDescent="0.3">
      <c r="A135" s="3">
        <v>45660</v>
      </c>
      <c r="B135" t="s">
        <v>15</v>
      </c>
      <c r="C135" t="s">
        <v>16</v>
      </c>
      <c r="D135" t="s">
        <v>17</v>
      </c>
      <c r="E135" t="s">
        <v>18</v>
      </c>
      <c r="F135" t="s">
        <v>19</v>
      </c>
      <c r="G135">
        <v>30000</v>
      </c>
      <c r="H135">
        <v>5000</v>
      </c>
      <c r="I135">
        <f>YEAR(Table7[[#This Row],[Order_Date]])</f>
        <v>2025</v>
      </c>
      <c r="J135" t="str">
        <f>TEXT(Table7[[#This Row],[Order_Date]],"mmm")</f>
        <v>Jan</v>
      </c>
      <c r="K135" s="5">
        <v>0.16666666666666666</v>
      </c>
    </row>
    <row r="136" spans="1:11" x14ac:dyDescent="0.3">
      <c r="A136" s="3">
        <v>45661</v>
      </c>
      <c r="B136" t="s">
        <v>15</v>
      </c>
      <c r="C136" t="s">
        <v>16</v>
      </c>
      <c r="D136" t="s">
        <v>20</v>
      </c>
      <c r="E136" t="s">
        <v>18</v>
      </c>
      <c r="F136" t="s">
        <v>19</v>
      </c>
      <c r="G136">
        <v>28000</v>
      </c>
      <c r="H136">
        <v>4500</v>
      </c>
      <c r="I136">
        <f>YEAR(Table7[[#This Row],[Order_Date]])</f>
        <v>2025</v>
      </c>
      <c r="J136" t="str">
        <f>TEXT(Table7[[#This Row],[Order_Date]],"mmm")</f>
        <v>Jan</v>
      </c>
      <c r="K136" s="5">
        <v>0.16071428571428573</v>
      </c>
    </row>
    <row r="137" spans="1:11" x14ac:dyDescent="0.3">
      <c r="A137" s="3">
        <v>45662</v>
      </c>
      <c r="B137" t="s">
        <v>15</v>
      </c>
      <c r="C137" t="s">
        <v>21</v>
      </c>
      <c r="D137" t="s">
        <v>22</v>
      </c>
      <c r="E137" t="s">
        <v>23</v>
      </c>
      <c r="F137" t="s">
        <v>24</v>
      </c>
      <c r="G137">
        <v>15000</v>
      </c>
      <c r="H137">
        <v>2000</v>
      </c>
      <c r="I137">
        <f>YEAR(Table7[[#This Row],[Order_Date]])</f>
        <v>2025</v>
      </c>
      <c r="J137" t="str">
        <f>TEXT(Table7[[#This Row],[Order_Date]],"mmm")</f>
        <v>Jan</v>
      </c>
      <c r="K137" s="5">
        <v>0.13333333333333333</v>
      </c>
    </row>
    <row r="138" spans="1:11" x14ac:dyDescent="0.3">
      <c r="A138" s="3">
        <v>45663</v>
      </c>
      <c r="B138" t="s">
        <v>25</v>
      </c>
      <c r="C138" t="s">
        <v>26</v>
      </c>
      <c r="D138" t="s">
        <v>27</v>
      </c>
      <c r="E138" t="s">
        <v>18</v>
      </c>
      <c r="F138" t="s">
        <v>28</v>
      </c>
      <c r="G138">
        <v>55000</v>
      </c>
      <c r="H138">
        <v>8000</v>
      </c>
      <c r="I138">
        <f>YEAR(Table7[[#This Row],[Order_Date]])</f>
        <v>2025</v>
      </c>
      <c r="J138" t="str">
        <f>TEXT(Table7[[#This Row],[Order_Date]],"mmm")</f>
        <v>Jan</v>
      </c>
      <c r="K138" s="5">
        <v>0.14545454545454545</v>
      </c>
    </row>
    <row r="139" spans="1:11" x14ac:dyDescent="0.3">
      <c r="A139" s="3">
        <v>45664</v>
      </c>
      <c r="B139" t="s">
        <v>29</v>
      </c>
      <c r="C139" t="s">
        <v>30</v>
      </c>
      <c r="D139" t="s">
        <v>31</v>
      </c>
      <c r="E139" t="s">
        <v>23</v>
      </c>
      <c r="F139" t="s">
        <v>32</v>
      </c>
      <c r="G139">
        <v>20000</v>
      </c>
      <c r="H139">
        <v>3000</v>
      </c>
      <c r="I139">
        <f>YEAR(Table7[[#This Row],[Order_Date]])</f>
        <v>2025</v>
      </c>
      <c r="J139" t="str">
        <f>TEXT(Table7[[#This Row],[Order_Date]],"mmm")</f>
        <v>Jan</v>
      </c>
      <c r="K139" s="5">
        <v>0.15</v>
      </c>
    </row>
    <row r="140" spans="1:11" x14ac:dyDescent="0.3">
      <c r="A140" s="3">
        <v>45665</v>
      </c>
      <c r="B140" t="s">
        <v>33</v>
      </c>
      <c r="C140" t="s">
        <v>34</v>
      </c>
      <c r="D140" t="s">
        <v>35</v>
      </c>
      <c r="E140" t="s">
        <v>18</v>
      </c>
      <c r="F140" t="s">
        <v>36</v>
      </c>
      <c r="G140">
        <v>40000</v>
      </c>
      <c r="H140">
        <v>6000</v>
      </c>
      <c r="I140">
        <f>YEAR(Table7[[#This Row],[Order_Date]])</f>
        <v>2025</v>
      </c>
      <c r="J140" t="str">
        <f>TEXT(Table7[[#This Row],[Order_Date]],"mmm")</f>
        <v>Jan</v>
      </c>
      <c r="K140" s="5">
        <v>0.15</v>
      </c>
    </row>
    <row r="141" spans="1:11" x14ac:dyDescent="0.3">
      <c r="A141" s="3">
        <v>45666</v>
      </c>
      <c r="B141" t="s">
        <v>15</v>
      </c>
      <c r="C141" t="s">
        <v>21</v>
      </c>
      <c r="D141" t="s">
        <v>37</v>
      </c>
      <c r="E141" t="s">
        <v>18</v>
      </c>
      <c r="F141" t="s">
        <v>38</v>
      </c>
      <c r="G141">
        <v>8000</v>
      </c>
      <c r="H141">
        <v>1500</v>
      </c>
      <c r="I141">
        <f>YEAR(Table7[[#This Row],[Order_Date]])</f>
        <v>2025</v>
      </c>
      <c r="J141" t="str">
        <f>TEXT(Table7[[#This Row],[Order_Date]],"mmm")</f>
        <v>Jan</v>
      </c>
      <c r="K141" s="5">
        <v>0.1875</v>
      </c>
    </row>
    <row r="142" spans="1:11" x14ac:dyDescent="0.3">
      <c r="A142" s="3">
        <v>45698</v>
      </c>
      <c r="B142" t="s">
        <v>25</v>
      </c>
      <c r="C142" t="s">
        <v>3</v>
      </c>
      <c r="D142" t="s">
        <v>39</v>
      </c>
      <c r="E142" t="s">
        <v>23</v>
      </c>
      <c r="F142" t="s">
        <v>40</v>
      </c>
      <c r="G142">
        <v>60000</v>
      </c>
      <c r="H142">
        <v>9000</v>
      </c>
      <c r="I142">
        <f>YEAR(Table7[[#This Row],[Order_Date]])</f>
        <v>2025</v>
      </c>
      <c r="J142" t="str">
        <f>TEXT(Table7[[#This Row],[Order_Date]],"mmm")</f>
        <v>Feb</v>
      </c>
      <c r="K142" s="5">
        <v>0.15</v>
      </c>
    </row>
    <row r="143" spans="1:11" x14ac:dyDescent="0.3">
      <c r="A143" s="3">
        <v>45699</v>
      </c>
      <c r="B143" t="s">
        <v>29</v>
      </c>
      <c r="C143" t="s">
        <v>30</v>
      </c>
      <c r="D143" t="s">
        <v>41</v>
      </c>
      <c r="E143" t="s">
        <v>18</v>
      </c>
      <c r="F143" t="s">
        <v>28</v>
      </c>
      <c r="G143">
        <v>52000</v>
      </c>
      <c r="H143">
        <v>7500</v>
      </c>
      <c r="I143">
        <f>YEAR(Table7[[#This Row],[Order_Date]])</f>
        <v>2025</v>
      </c>
      <c r="J143" t="str">
        <f>TEXT(Table7[[#This Row],[Order_Date]],"mmm")</f>
        <v>Feb</v>
      </c>
      <c r="K143" s="5">
        <v>0.14423076923076922</v>
      </c>
    </row>
    <row r="144" spans="1:11" x14ac:dyDescent="0.3">
      <c r="A144" s="3">
        <v>45700</v>
      </c>
      <c r="B144" t="s">
        <v>33</v>
      </c>
      <c r="C144" t="s">
        <v>42</v>
      </c>
      <c r="D144" t="s">
        <v>43</v>
      </c>
      <c r="E144" t="s">
        <v>23</v>
      </c>
      <c r="F144" t="s">
        <v>44</v>
      </c>
      <c r="G144">
        <v>30000</v>
      </c>
      <c r="H144">
        <v>4000</v>
      </c>
      <c r="I144">
        <f>YEAR(Table7[[#This Row],[Order_Date]])</f>
        <v>2025</v>
      </c>
      <c r="J144" t="str">
        <f>TEXT(Table7[[#This Row],[Order_Date]],"mmm")</f>
        <v>Feb</v>
      </c>
      <c r="K144" s="5">
        <v>0.13333333333333333</v>
      </c>
    </row>
    <row r="145" spans="1:11" x14ac:dyDescent="0.3">
      <c r="A145" s="3">
        <v>45701</v>
      </c>
      <c r="B145" t="s">
        <v>15</v>
      </c>
      <c r="C145" t="s">
        <v>16</v>
      </c>
      <c r="D145" t="s">
        <v>45</v>
      </c>
      <c r="E145" t="s">
        <v>18</v>
      </c>
      <c r="F145" t="s">
        <v>19</v>
      </c>
      <c r="G145">
        <v>25000</v>
      </c>
      <c r="H145">
        <v>4200</v>
      </c>
      <c r="I145">
        <f>YEAR(Table7[[#This Row],[Order_Date]])</f>
        <v>2025</v>
      </c>
      <c r="J145" t="str">
        <f>TEXT(Table7[[#This Row],[Order_Date]],"mmm")</f>
        <v>Feb</v>
      </c>
      <c r="K145" s="5">
        <v>0.16800000000000001</v>
      </c>
    </row>
    <row r="146" spans="1:11" x14ac:dyDescent="0.3">
      <c r="A146" s="3">
        <v>45702</v>
      </c>
      <c r="B146" t="s">
        <v>15</v>
      </c>
      <c r="C146" t="s">
        <v>16</v>
      </c>
      <c r="D146" t="s">
        <v>46</v>
      </c>
      <c r="E146" t="s">
        <v>23</v>
      </c>
      <c r="F146" t="s">
        <v>32</v>
      </c>
      <c r="G146">
        <v>18000</v>
      </c>
      <c r="H146">
        <v>2600</v>
      </c>
      <c r="I146">
        <f>YEAR(Table7[[#This Row],[Order_Date]])</f>
        <v>2025</v>
      </c>
      <c r="J146" t="str">
        <f>TEXT(Table7[[#This Row],[Order_Date]],"mmm")</f>
        <v>Feb</v>
      </c>
      <c r="K146" s="5">
        <v>0.14444444444444443</v>
      </c>
    </row>
    <row r="147" spans="1:11" x14ac:dyDescent="0.3">
      <c r="A147" s="3">
        <v>45703</v>
      </c>
      <c r="B147" t="s">
        <v>25</v>
      </c>
      <c r="C147" t="s">
        <v>47</v>
      </c>
      <c r="D147" t="s">
        <v>48</v>
      </c>
      <c r="E147" t="s">
        <v>18</v>
      </c>
      <c r="F147" t="s">
        <v>36</v>
      </c>
      <c r="G147">
        <v>38000</v>
      </c>
      <c r="H147">
        <v>5600</v>
      </c>
      <c r="I147">
        <f>YEAR(Table7[[#This Row],[Order_Date]])</f>
        <v>2025</v>
      </c>
      <c r="J147" t="str">
        <f>TEXT(Table7[[#This Row],[Order_Date]],"mmm")</f>
        <v>Feb</v>
      </c>
      <c r="K147" s="5">
        <v>0.14736842105263157</v>
      </c>
    </row>
    <row r="148" spans="1:11" x14ac:dyDescent="0.3">
      <c r="A148" s="3">
        <v>45704</v>
      </c>
      <c r="B148" t="s">
        <v>29</v>
      </c>
      <c r="C148" t="s">
        <v>49</v>
      </c>
      <c r="D148" t="s">
        <v>50</v>
      </c>
      <c r="E148" t="s">
        <v>23</v>
      </c>
      <c r="F148" t="s">
        <v>24</v>
      </c>
      <c r="G148">
        <v>16000</v>
      </c>
      <c r="H148">
        <v>2200</v>
      </c>
      <c r="I148">
        <f>YEAR(Table7[[#This Row],[Order_Date]])</f>
        <v>2025</v>
      </c>
      <c r="J148" t="str">
        <f>TEXT(Table7[[#This Row],[Order_Date]],"mmm")</f>
        <v>Feb</v>
      </c>
      <c r="K148" s="5">
        <v>0.13750000000000001</v>
      </c>
    </row>
    <row r="149" spans="1:11" x14ac:dyDescent="0.3">
      <c r="A149" s="3">
        <v>45733</v>
      </c>
      <c r="B149" t="s">
        <v>33</v>
      </c>
      <c r="C149" t="s">
        <v>51</v>
      </c>
      <c r="D149" t="s">
        <v>52</v>
      </c>
      <c r="E149" t="s">
        <v>18</v>
      </c>
      <c r="F149" t="s">
        <v>28</v>
      </c>
      <c r="G149">
        <v>50000</v>
      </c>
      <c r="H149">
        <v>7200</v>
      </c>
      <c r="I149">
        <f>YEAR(Table7[[#This Row],[Order_Date]])</f>
        <v>2025</v>
      </c>
      <c r="J149" t="str">
        <f>TEXT(Table7[[#This Row],[Order_Date]],"mmm")</f>
        <v>Mar</v>
      </c>
      <c r="K149" s="5">
        <v>0.14399999999999999</v>
      </c>
    </row>
    <row r="150" spans="1:11" x14ac:dyDescent="0.3">
      <c r="A150" s="3">
        <v>45734</v>
      </c>
      <c r="B150" t="s">
        <v>15</v>
      </c>
      <c r="C150" t="s">
        <v>21</v>
      </c>
      <c r="D150" t="s">
        <v>53</v>
      </c>
      <c r="E150" t="s">
        <v>18</v>
      </c>
      <c r="F150" t="s">
        <v>19</v>
      </c>
      <c r="G150">
        <v>27000</v>
      </c>
      <c r="H150">
        <v>4300</v>
      </c>
      <c r="I150">
        <f>YEAR(Table7[[#This Row],[Order_Date]])</f>
        <v>2025</v>
      </c>
      <c r="J150" t="str">
        <f>TEXT(Table7[[#This Row],[Order_Date]],"mmm")</f>
        <v>Mar</v>
      </c>
      <c r="K150" s="5">
        <v>0.15925925925925927</v>
      </c>
    </row>
    <row r="151" spans="1:11" x14ac:dyDescent="0.3">
      <c r="A151" s="3">
        <v>45735</v>
      </c>
      <c r="B151" t="s">
        <v>15</v>
      </c>
      <c r="C151" t="s">
        <v>16</v>
      </c>
      <c r="D151" t="s">
        <v>54</v>
      </c>
      <c r="E151" t="s">
        <v>23</v>
      </c>
      <c r="F151" t="s">
        <v>44</v>
      </c>
      <c r="G151">
        <v>32000</v>
      </c>
      <c r="H151">
        <v>4500</v>
      </c>
      <c r="I151">
        <f>YEAR(Table7[[#This Row],[Order_Date]])</f>
        <v>2025</v>
      </c>
      <c r="J151" t="str">
        <f>TEXT(Table7[[#This Row],[Order_Date]],"mmm")</f>
        <v>Mar</v>
      </c>
      <c r="K151" s="5">
        <v>0.140625</v>
      </c>
    </row>
    <row r="152" spans="1:11" x14ac:dyDescent="0.3">
      <c r="A152" s="3">
        <v>45736</v>
      </c>
      <c r="B152" t="s">
        <v>25</v>
      </c>
      <c r="C152" t="s">
        <v>55</v>
      </c>
      <c r="D152" t="s">
        <v>56</v>
      </c>
      <c r="E152" t="s">
        <v>18</v>
      </c>
      <c r="F152" t="s">
        <v>36</v>
      </c>
      <c r="G152">
        <v>41000</v>
      </c>
      <c r="H152">
        <v>6100</v>
      </c>
      <c r="I152">
        <f>YEAR(Table7[[#This Row],[Order_Date]])</f>
        <v>2025</v>
      </c>
      <c r="J152" t="str">
        <f>TEXT(Table7[[#This Row],[Order_Date]],"mmm")</f>
        <v>Mar</v>
      </c>
      <c r="K152" s="5">
        <v>0.14878048780487804</v>
      </c>
    </row>
    <row r="153" spans="1:11" x14ac:dyDescent="0.3">
      <c r="A153" s="3">
        <v>45737</v>
      </c>
      <c r="B153" t="s">
        <v>29</v>
      </c>
      <c r="C153" t="s">
        <v>57</v>
      </c>
      <c r="D153" t="s">
        <v>58</v>
      </c>
      <c r="E153" t="s">
        <v>23</v>
      </c>
      <c r="F153" t="s">
        <v>40</v>
      </c>
      <c r="G153">
        <v>58000</v>
      </c>
      <c r="H153">
        <v>8500</v>
      </c>
      <c r="I153">
        <f>YEAR(Table7[[#This Row],[Order_Date]])</f>
        <v>2025</v>
      </c>
      <c r="J153" t="str">
        <f>TEXT(Table7[[#This Row],[Order_Date]],"mmm")</f>
        <v>Mar</v>
      </c>
      <c r="K153" s="5">
        <v>0.14655172413793102</v>
      </c>
    </row>
    <row r="154" spans="1:11" x14ac:dyDescent="0.3">
      <c r="A154" s="3">
        <v>45769</v>
      </c>
      <c r="B154" t="s">
        <v>33</v>
      </c>
      <c r="C154" t="s">
        <v>59</v>
      </c>
      <c r="D154" t="s">
        <v>60</v>
      </c>
      <c r="E154" t="s">
        <v>18</v>
      </c>
      <c r="F154" t="s">
        <v>19</v>
      </c>
      <c r="G154">
        <v>26000</v>
      </c>
      <c r="H154">
        <v>3900</v>
      </c>
      <c r="I154">
        <f>YEAR(Table7[[#This Row],[Order_Date]])</f>
        <v>2025</v>
      </c>
      <c r="J154" t="str">
        <f>TEXT(Table7[[#This Row],[Order_Date]],"mmm")</f>
        <v>Apr</v>
      </c>
      <c r="K154" s="5">
        <v>0.15</v>
      </c>
    </row>
    <row r="155" spans="1:11" x14ac:dyDescent="0.3">
      <c r="A155" s="3">
        <v>45770</v>
      </c>
      <c r="B155" t="s">
        <v>15</v>
      </c>
      <c r="C155" t="s">
        <v>16</v>
      </c>
      <c r="D155" t="s">
        <v>61</v>
      </c>
      <c r="E155" t="s">
        <v>18</v>
      </c>
      <c r="F155" t="s">
        <v>38</v>
      </c>
      <c r="G155">
        <v>9000</v>
      </c>
      <c r="H155">
        <v>1700</v>
      </c>
      <c r="I155">
        <f>YEAR(Table7[[#This Row],[Order_Date]])</f>
        <v>2025</v>
      </c>
      <c r="J155" t="str">
        <f>TEXT(Table7[[#This Row],[Order_Date]],"mmm")</f>
        <v>Apr</v>
      </c>
      <c r="K155" s="5">
        <v>0.18888888888888888</v>
      </c>
    </row>
    <row r="156" spans="1:11" x14ac:dyDescent="0.3">
      <c r="A156" s="3">
        <v>45771</v>
      </c>
      <c r="B156" t="s">
        <v>15</v>
      </c>
      <c r="C156" t="s">
        <v>21</v>
      </c>
      <c r="D156" t="s">
        <v>62</v>
      </c>
      <c r="E156" t="s">
        <v>23</v>
      </c>
      <c r="F156" t="s">
        <v>24</v>
      </c>
      <c r="G156">
        <v>14000</v>
      </c>
      <c r="H156">
        <v>2100</v>
      </c>
      <c r="I156">
        <f>YEAR(Table7[[#This Row],[Order_Date]])</f>
        <v>2025</v>
      </c>
      <c r="J156" t="str">
        <f>TEXT(Table7[[#This Row],[Order_Date]],"mmm")</f>
        <v>Apr</v>
      </c>
      <c r="K156" s="5">
        <v>0.15</v>
      </c>
    </row>
    <row r="157" spans="1:11" x14ac:dyDescent="0.3">
      <c r="A157" s="3">
        <v>45772</v>
      </c>
      <c r="B157" t="s">
        <v>25</v>
      </c>
      <c r="C157" t="s">
        <v>63</v>
      </c>
      <c r="D157" t="s">
        <v>64</v>
      </c>
      <c r="E157" t="s">
        <v>18</v>
      </c>
      <c r="F157" t="s">
        <v>28</v>
      </c>
      <c r="G157">
        <v>54000</v>
      </c>
      <c r="H157">
        <v>7900</v>
      </c>
      <c r="I157">
        <f>YEAR(Table7[[#This Row],[Order_Date]])</f>
        <v>2025</v>
      </c>
      <c r="J157" t="str">
        <f>TEXT(Table7[[#This Row],[Order_Date]],"mmm")</f>
        <v>Apr</v>
      </c>
      <c r="K157" s="5">
        <v>0.14629629629629629</v>
      </c>
    </row>
    <row r="158" spans="1:11" x14ac:dyDescent="0.3">
      <c r="A158" s="3">
        <v>45773</v>
      </c>
      <c r="B158" t="s">
        <v>29</v>
      </c>
      <c r="C158" t="s">
        <v>65</v>
      </c>
      <c r="D158" t="s">
        <v>66</v>
      </c>
      <c r="E158" t="s">
        <v>23</v>
      </c>
      <c r="F158" t="s">
        <v>32</v>
      </c>
      <c r="G158">
        <v>19000</v>
      </c>
      <c r="H158">
        <v>2800</v>
      </c>
      <c r="I158">
        <f>YEAR(Table7[[#This Row],[Order_Date]])</f>
        <v>2025</v>
      </c>
      <c r="J158" t="str">
        <f>TEXT(Table7[[#This Row],[Order_Date]],"mmm")</f>
        <v>Apr</v>
      </c>
      <c r="K158" s="5">
        <v>0.14736842105263157</v>
      </c>
    </row>
    <row r="159" spans="1:11" x14ac:dyDescent="0.3">
      <c r="A159" s="3">
        <v>45774</v>
      </c>
      <c r="B159" t="s">
        <v>33</v>
      </c>
      <c r="C159" t="s">
        <v>67</v>
      </c>
      <c r="D159" t="s">
        <v>68</v>
      </c>
      <c r="E159" t="s">
        <v>18</v>
      </c>
      <c r="F159" t="s">
        <v>36</v>
      </c>
      <c r="G159">
        <v>36000</v>
      </c>
      <c r="H159">
        <v>5400</v>
      </c>
      <c r="I159">
        <f>YEAR(Table7[[#This Row],[Order_Date]])</f>
        <v>2025</v>
      </c>
      <c r="J159" t="str">
        <f>TEXT(Table7[[#This Row],[Order_Date]],"mmm")</f>
        <v>Apr</v>
      </c>
      <c r="K159" s="5">
        <v>0.15</v>
      </c>
    </row>
    <row r="160" spans="1:11" x14ac:dyDescent="0.3">
      <c r="A160" s="3">
        <v>45775</v>
      </c>
      <c r="B160" t="s">
        <v>15</v>
      </c>
      <c r="C160" t="s">
        <v>16</v>
      </c>
      <c r="D160" t="s">
        <v>69</v>
      </c>
      <c r="E160" t="s">
        <v>18</v>
      </c>
      <c r="F160" t="s">
        <v>19</v>
      </c>
      <c r="G160">
        <v>29000</v>
      </c>
      <c r="H160">
        <v>4600</v>
      </c>
      <c r="I160">
        <f>YEAR(Table7[[#This Row],[Order_Date]])</f>
        <v>2025</v>
      </c>
      <c r="J160" t="str">
        <f>TEXT(Table7[[#This Row],[Order_Date]],"mmm")</f>
        <v>Apr</v>
      </c>
      <c r="K160" s="5">
        <v>0.15862068965517243</v>
      </c>
    </row>
    <row r="161" spans="1:11" x14ac:dyDescent="0.3">
      <c r="A161" s="3">
        <v>45778</v>
      </c>
      <c r="B161" t="s">
        <v>15</v>
      </c>
      <c r="C161" t="s">
        <v>21</v>
      </c>
      <c r="D161" t="s">
        <v>70</v>
      </c>
      <c r="E161" t="s">
        <v>23</v>
      </c>
      <c r="F161" t="s">
        <v>44</v>
      </c>
      <c r="G161">
        <v>31000</v>
      </c>
      <c r="H161">
        <v>4400</v>
      </c>
      <c r="I161">
        <f>YEAR(Table7[[#This Row],[Order_Date]])</f>
        <v>2025</v>
      </c>
      <c r="J161" t="str">
        <f>TEXT(Table7[[#This Row],[Order_Date]],"mmm")</f>
        <v>May</v>
      </c>
      <c r="K161" s="5">
        <v>0.14193548387096774</v>
      </c>
    </row>
    <row r="162" spans="1:11" x14ac:dyDescent="0.3">
      <c r="A162" s="3">
        <v>45779</v>
      </c>
      <c r="B162" t="s">
        <v>25</v>
      </c>
      <c r="C162" t="s">
        <v>71</v>
      </c>
      <c r="D162" t="s">
        <v>72</v>
      </c>
      <c r="E162" t="s">
        <v>18</v>
      </c>
      <c r="F162" t="s">
        <v>28</v>
      </c>
      <c r="G162">
        <v>53000</v>
      </c>
      <c r="H162">
        <v>7800</v>
      </c>
      <c r="I162">
        <f>YEAR(Table7[[#This Row],[Order_Date]])</f>
        <v>2025</v>
      </c>
      <c r="J162" t="str">
        <f>TEXT(Table7[[#This Row],[Order_Date]],"mmm")</f>
        <v>May</v>
      </c>
      <c r="K162" s="5">
        <v>0.14716981132075471</v>
      </c>
    </row>
    <row r="163" spans="1:11" x14ac:dyDescent="0.3">
      <c r="A163" s="3">
        <v>45785</v>
      </c>
      <c r="B163" t="s">
        <v>29</v>
      </c>
      <c r="C163" t="s">
        <v>73</v>
      </c>
      <c r="D163" t="s">
        <v>74</v>
      </c>
      <c r="E163" t="s">
        <v>23</v>
      </c>
      <c r="F163" t="s">
        <v>24</v>
      </c>
      <c r="G163">
        <v>15500</v>
      </c>
      <c r="H163">
        <v>2300</v>
      </c>
      <c r="I163">
        <f>YEAR(Table7[[#This Row],[Order_Date]])</f>
        <v>2025</v>
      </c>
      <c r="J163" t="str">
        <f>TEXT(Table7[[#This Row],[Order_Date]],"mmm")</f>
        <v>May</v>
      </c>
      <c r="K163" s="5">
        <v>0.14838709677419354</v>
      </c>
    </row>
    <row r="164" spans="1:11" x14ac:dyDescent="0.3">
      <c r="A164" s="3">
        <v>45786</v>
      </c>
      <c r="B164" t="s">
        <v>33</v>
      </c>
      <c r="C164" t="s">
        <v>75</v>
      </c>
      <c r="D164" t="s">
        <v>76</v>
      </c>
      <c r="E164" t="s">
        <v>18</v>
      </c>
      <c r="F164" t="s">
        <v>19</v>
      </c>
      <c r="G164">
        <v>24000</v>
      </c>
      <c r="H164">
        <v>3800</v>
      </c>
      <c r="I164">
        <f>YEAR(Table7[[#This Row],[Order_Date]])</f>
        <v>2025</v>
      </c>
      <c r="J164" t="str">
        <f>TEXT(Table7[[#This Row],[Order_Date]],"mmm")</f>
        <v>May</v>
      </c>
      <c r="K164" s="5">
        <v>0.15833333333333333</v>
      </c>
    </row>
    <row r="165" spans="1:11" x14ac:dyDescent="0.3">
      <c r="A165" s="3">
        <v>45787</v>
      </c>
      <c r="B165" t="s">
        <v>15</v>
      </c>
      <c r="C165" t="s">
        <v>16</v>
      </c>
      <c r="D165" t="s">
        <v>77</v>
      </c>
      <c r="E165" t="s">
        <v>18</v>
      </c>
      <c r="F165" t="s">
        <v>36</v>
      </c>
      <c r="G165">
        <v>42000</v>
      </c>
      <c r="H165">
        <v>6300</v>
      </c>
      <c r="I165">
        <f>YEAR(Table7[[#This Row],[Order_Date]])</f>
        <v>2025</v>
      </c>
      <c r="J165" t="str">
        <f>TEXT(Table7[[#This Row],[Order_Date]],"mmm")</f>
        <v>May</v>
      </c>
      <c r="K165" s="5">
        <v>0.15</v>
      </c>
    </row>
    <row r="166" spans="1:11" x14ac:dyDescent="0.3">
      <c r="A166" s="3">
        <v>45811</v>
      </c>
      <c r="B166" t="s">
        <v>15</v>
      </c>
      <c r="C166" t="s">
        <v>21</v>
      </c>
      <c r="D166" t="s">
        <v>22</v>
      </c>
      <c r="E166" t="s">
        <v>23</v>
      </c>
      <c r="F166" t="s">
        <v>40</v>
      </c>
      <c r="G166">
        <v>62000</v>
      </c>
      <c r="H166">
        <v>9200</v>
      </c>
      <c r="I166">
        <f>YEAR(Table7[[#This Row],[Order_Date]])</f>
        <v>2025</v>
      </c>
      <c r="J166" t="str">
        <f>TEXT(Table7[[#This Row],[Order_Date]],"mmm")</f>
        <v>Jun</v>
      </c>
      <c r="K166" s="5">
        <v>0.14838709677419354</v>
      </c>
    </row>
    <row r="167" spans="1:11" x14ac:dyDescent="0.3">
      <c r="A167" s="3">
        <v>45812</v>
      </c>
      <c r="B167" t="s">
        <v>25</v>
      </c>
      <c r="C167" t="s">
        <v>26</v>
      </c>
      <c r="D167" t="s">
        <v>27</v>
      </c>
      <c r="E167" t="s">
        <v>18</v>
      </c>
      <c r="F167" t="s">
        <v>28</v>
      </c>
      <c r="G167">
        <v>56000</v>
      </c>
      <c r="H167">
        <v>8100</v>
      </c>
      <c r="I167">
        <f>YEAR(Table7[[#This Row],[Order_Date]])</f>
        <v>2025</v>
      </c>
      <c r="J167" t="str">
        <f>TEXT(Table7[[#This Row],[Order_Date]],"mmm")</f>
        <v>Jun</v>
      </c>
      <c r="K167" s="5">
        <v>0.14464285714285716</v>
      </c>
    </row>
    <row r="168" spans="1:11" x14ac:dyDescent="0.3">
      <c r="A168" s="3">
        <v>45813</v>
      </c>
      <c r="B168" t="s">
        <v>29</v>
      </c>
      <c r="C168" t="s">
        <v>30</v>
      </c>
      <c r="D168" t="s">
        <v>78</v>
      </c>
      <c r="E168" t="s">
        <v>23</v>
      </c>
      <c r="F168" t="s">
        <v>32</v>
      </c>
      <c r="G168">
        <v>21000</v>
      </c>
      <c r="H168">
        <v>3100</v>
      </c>
      <c r="I168">
        <f>YEAR(Table7[[#This Row],[Order_Date]])</f>
        <v>2025</v>
      </c>
      <c r="J168" t="str">
        <f>TEXT(Table7[[#This Row],[Order_Date]],"mmm")</f>
        <v>Jun</v>
      </c>
      <c r="K168" s="5">
        <v>0.14761904761904762</v>
      </c>
    </row>
    <row r="169" spans="1:11" x14ac:dyDescent="0.3">
      <c r="A169" s="3">
        <v>45814</v>
      </c>
      <c r="B169" t="s">
        <v>33</v>
      </c>
      <c r="C169" t="s">
        <v>34</v>
      </c>
      <c r="D169" t="s">
        <v>79</v>
      </c>
      <c r="E169" t="s">
        <v>18</v>
      </c>
      <c r="F169" t="s">
        <v>19</v>
      </c>
      <c r="G169">
        <v>27000</v>
      </c>
      <c r="H169">
        <v>4100</v>
      </c>
      <c r="I169">
        <f>YEAR(Table7[[#This Row],[Order_Date]])</f>
        <v>2025</v>
      </c>
      <c r="J169" t="str">
        <f>TEXT(Table7[[#This Row],[Order_Date]],"mmm")</f>
        <v>Jun</v>
      </c>
      <c r="K169" s="5">
        <v>0.15185185185185185</v>
      </c>
    </row>
    <row r="170" spans="1:11" x14ac:dyDescent="0.3">
      <c r="A170" s="3">
        <v>45815</v>
      </c>
      <c r="B170" t="s">
        <v>15</v>
      </c>
      <c r="C170" t="s">
        <v>16</v>
      </c>
      <c r="D170" t="s">
        <v>17</v>
      </c>
      <c r="E170" t="s">
        <v>18</v>
      </c>
      <c r="F170" t="s">
        <v>19</v>
      </c>
      <c r="G170">
        <v>31000</v>
      </c>
      <c r="H170">
        <v>5200</v>
      </c>
      <c r="I170">
        <f>YEAR(Table7[[#This Row],[Order_Date]])</f>
        <v>2025</v>
      </c>
      <c r="J170" t="str">
        <f>TEXT(Table7[[#This Row],[Order_Date]],"mmm")</f>
        <v>Jun</v>
      </c>
      <c r="K170" s="5">
        <v>0.16774193548387098</v>
      </c>
    </row>
    <row r="171" spans="1:11" x14ac:dyDescent="0.3">
      <c r="A171" s="3">
        <v>45846</v>
      </c>
      <c r="B171" t="s">
        <v>15</v>
      </c>
      <c r="C171" t="s">
        <v>21</v>
      </c>
      <c r="D171" t="s">
        <v>80</v>
      </c>
      <c r="E171" t="s">
        <v>23</v>
      </c>
      <c r="F171" t="s">
        <v>24</v>
      </c>
      <c r="G171">
        <v>14500</v>
      </c>
      <c r="H171">
        <v>2000</v>
      </c>
      <c r="I171">
        <f>YEAR(Table7[[#This Row],[Order_Date]])</f>
        <v>2025</v>
      </c>
      <c r="J171" t="str">
        <f>TEXT(Table7[[#This Row],[Order_Date]],"mmm")</f>
        <v>Jul</v>
      </c>
      <c r="K171" s="5">
        <v>0.13793103448275862</v>
      </c>
    </row>
    <row r="172" spans="1:11" x14ac:dyDescent="0.3">
      <c r="A172" s="3">
        <v>45847</v>
      </c>
      <c r="B172" t="s">
        <v>25</v>
      </c>
      <c r="C172" t="s">
        <v>47</v>
      </c>
      <c r="D172" t="s">
        <v>81</v>
      </c>
      <c r="E172" t="s">
        <v>18</v>
      </c>
      <c r="F172" t="s">
        <v>28</v>
      </c>
      <c r="G172">
        <v>58000</v>
      </c>
      <c r="H172">
        <v>8400</v>
      </c>
      <c r="I172">
        <f>YEAR(Table7[[#This Row],[Order_Date]])</f>
        <v>2025</v>
      </c>
      <c r="J172" t="str">
        <f>TEXT(Table7[[#This Row],[Order_Date]],"mmm")</f>
        <v>Jul</v>
      </c>
      <c r="K172" s="5">
        <v>0.14482758620689656</v>
      </c>
    </row>
    <row r="173" spans="1:11" x14ac:dyDescent="0.3">
      <c r="A173" s="3">
        <v>45848</v>
      </c>
      <c r="B173" t="s">
        <v>29</v>
      </c>
      <c r="C173" t="s">
        <v>49</v>
      </c>
      <c r="D173" t="s">
        <v>82</v>
      </c>
      <c r="E173" t="s">
        <v>23</v>
      </c>
      <c r="F173" t="s">
        <v>44</v>
      </c>
      <c r="G173">
        <v>33000</v>
      </c>
      <c r="H173">
        <v>4700</v>
      </c>
      <c r="I173">
        <f>YEAR(Table7[[#This Row],[Order_Date]])</f>
        <v>2025</v>
      </c>
      <c r="J173" t="str">
        <f>TEXT(Table7[[#This Row],[Order_Date]],"mmm")</f>
        <v>Jul</v>
      </c>
      <c r="K173" s="5">
        <v>0.14242424242424243</v>
      </c>
    </row>
    <row r="174" spans="1:11" x14ac:dyDescent="0.3">
      <c r="A174" s="3">
        <v>45849</v>
      </c>
      <c r="B174" t="s">
        <v>33</v>
      </c>
      <c r="C174" t="s">
        <v>42</v>
      </c>
      <c r="D174" t="s">
        <v>83</v>
      </c>
      <c r="E174" t="s">
        <v>18</v>
      </c>
      <c r="F174" t="s">
        <v>36</v>
      </c>
      <c r="G174">
        <v>39000</v>
      </c>
      <c r="H174">
        <v>5800</v>
      </c>
      <c r="I174">
        <f>YEAR(Table7[[#This Row],[Order_Date]])</f>
        <v>2025</v>
      </c>
      <c r="J174" t="str">
        <f>TEXT(Table7[[#This Row],[Order_Date]],"mmm")</f>
        <v>Jul</v>
      </c>
      <c r="K174" s="5">
        <v>0.14871794871794872</v>
      </c>
    </row>
    <row r="175" spans="1:11" x14ac:dyDescent="0.3">
      <c r="A175" s="3">
        <v>45850</v>
      </c>
      <c r="B175" t="s">
        <v>15</v>
      </c>
      <c r="C175" t="s">
        <v>16</v>
      </c>
      <c r="D175" t="s">
        <v>20</v>
      </c>
      <c r="E175" t="s">
        <v>18</v>
      </c>
      <c r="F175" t="s">
        <v>19</v>
      </c>
      <c r="G175">
        <v>29500</v>
      </c>
      <c r="H175">
        <v>4800</v>
      </c>
      <c r="I175">
        <f>YEAR(Table7[[#This Row],[Order_Date]])</f>
        <v>2025</v>
      </c>
      <c r="J175" t="str">
        <f>TEXT(Table7[[#This Row],[Order_Date]],"mmm")</f>
        <v>Jul</v>
      </c>
      <c r="K175" s="5">
        <v>0.16271186440677965</v>
      </c>
    </row>
    <row r="176" spans="1:11" x14ac:dyDescent="0.3">
      <c r="A176" s="3">
        <v>45851</v>
      </c>
      <c r="B176" t="s">
        <v>15</v>
      </c>
      <c r="C176" t="s">
        <v>21</v>
      </c>
      <c r="D176" t="s">
        <v>84</v>
      </c>
      <c r="E176" t="s">
        <v>23</v>
      </c>
      <c r="F176" t="s">
        <v>32</v>
      </c>
      <c r="G176">
        <v>17500</v>
      </c>
      <c r="H176">
        <v>2500</v>
      </c>
      <c r="I176">
        <f>YEAR(Table7[[#This Row],[Order_Date]])</f>
        <v>2025</v>
      </c>
      <c r="J176" t="str">
        <f>TEXT(Table7[[#This Row],[Order_Date]],"mmm")</f>
        <v>Jul</v>
      </c>
      <c r="K176" s="5">
        <v>0.14285714285714285</v>
      </c>
    </row>
    <row r="177" spans="1:11" x14ac:dyDescent="0.3">
      <c r="A177" s="3">
        <v>45852</v>
      </c>
      <c r="B177" t="s">
        <v>25</v>
      </c>
      <c r="C177" t="s">
        <v>3</v>
      </c>
      <c r="D177" t="s">
        <v>85</v>
      </c>
      <c r="E177" t="s">
        <v>18</v>
      </c>
      <c r="F177" t="s">
        <v>28</v>
      </c>
      <c r="G177">
        <v>57000</v>
      </c>
      <c r="H177">
        <v>8300</v>
      </c>
      <c r="I177">
        <f>YEAR(Table7[[#This Row],[Order_Date]])</f>
        <v>2025</v>
      </c>
      <c r="J177" t="str">
        <f>TEXT(Table7[[#This Row],[Order_Date]],"mmm")</f>
        <v>Jul</v>
      </c>
      <c r="K177" s="5">
        <v>0.14561403508771931</v>
      </c>
    </row>
    <row r="178" spans="1:11" x14ac:dyDescent="0.3">
      <c r="A178" s="3">
        <v>45853</v>
      </c>
      <c r="B178" t="s">
        <v>29</v>
      </c>
      <c r="C178" t="s">
        <v>30</v>
      </c>
      <c r="D178" t="s">
        <v>86</v>
      </c>
      <c r="E178" t="s">
        <v>23</v>
      </c>
      <c r="F178" t="s">
        <v>40</v>
      </c>
      <c r="G178">
        <v>61000</v>
      </c>
      <c r="H178">
        <v>9100</v>
      </c>
      <c r="I178">
        <f>YEAR(Table7[[#This Row],[Order_Date]])</f>
        <v>2025</v>
      </c>
      <c r="J178" t="str">
        <f>TEXT(Table7[[#This Row],[Order_Date]],"mmm")</f>
        <v>Jul</v>
      </c>
      <c r="K178" s="5">
        <v>0.14918032786885246</v>
      </c>
    </row>
    <row r="179" spans="1:11" x14ac:dyDescent="0.3">
      <c r="A179" s="3">
        <v>45854</v>
      </c>
      <c r="B179" t="s">
        <v>33</v>
      </c>
      <c r="C179" t="s">
        <v>67</v>
      </c>
      <c r="D179" t="s">
        <v>87</v>
      </c>
      <c r="E179" t="s">
        <v>18</v>
      </c>
      <c r="F179" t="s">
        <v>19</v>
      </c>
      <c r="G179">
        <v>25500</v>
      </c>
      <c r="H179">
        <v>4000</v>
      </c>
      <c r="I179">
        <f>YEAR(Table7[[#This Row],[Order_Date]])</f>
        <v>2025</v>
      </c>
      <c r="J179" t="str">
        <f>TEXT(Table7[[#This Row],[Order_Date]],"mmm")</f>
        <v>Jul</v>
      </c>
      <c r="K179" s="5">
        <v>0.15686274509803921</v>
      </c>
    </row>
    <row r="180" spans="1:11" x14ac:dyDescent="0.3">
      <c r="A180" s="3">
        <v>45886</v>
      </c>
      <c r="B180" t="s">
        <v>15</v>
      </c>
      <c r="C180" t="s">
        <v>16</v>
      </c>
      <c r="D180" t="s">
        <v>88</v>
      </c>
      <c r="E180" t="s">
        <v>18</v>
      </c>
      <c r="F180" t="s">
        <v>36</v>
      </c>
      <c r="G180">
        <v>43000</v>
      </c>
      <c r="H180">
        <v>6500</v>
      </c>
      <c r="I180">
        <f>YEAR(Table7[[#This Row],[Order_Date]])</f>
        <v>2025</v>
      </c>
      <c r="J180" t="str">
        <f>TEXT(Table7[[#This Row],[Order_Date]],"mmm")</f>
        <v>Aug</v>
      </c>
      <c r="K180" s="5">
        <v>0.15116279069767441</v>
      </c>
    </row>
    <row r="181" spans="1:11" x14ac:dyDescent="0.3">
      <c r="A181" s="3">
        <v>45887</v>
      </c>
      <c r="B181" t="s">
        <v>15</v>
      </c>
      <c r="C181" t="s">
        <v>21</v>
      </c>
      <c r="D181" t="s">
        <v>89</v>
      </c>
      <c r="E181" t="s">
        <v>23</v>
      </c>
      <c r="F181" t="s">
        <v>44</v>
      </c>
      <c r="G181">
        <v>34000</v>
      </c>
      <c r="H181">
        <v>4800</v>
      </c>
      <c r="I181">
        <f>YEAR(Table7[[#This Row],[Order_Date]])</f>
        <v>2025</v>
      </c>
      <c r="J181" t="str">
        <f>TEXT(Table7[[#This Row],[Order_Date]],"mmm")</f>
        <v>Aug</v>
      </c>
      <c r="K181" s="5">
        <v>0.14117647058823529</v>
      </c>
    </row>
    <row r="182" spans="1:11" x14ac:dyDescent="0.3">
      <c r="A182" s="3">
        <v>45888</v>
      </c>
      <c r="B182" t="s">
        <v>25</v>
      </c>
      <c r="C182" t="s">
        <v>57</v>
      </c>
      <c r="D182" t="s">
        <v>90</v>
      </c>
      <c r="E182" t="s">
        <v>18</v>
      </c>
      <c r="F182" t="s">
        <v>28</v>
      </c>
      <c r="G182">
        <v>54500</v>
      </c>
      <c r="H182">
        <v>8000</v>
      </c>
      <c r="I182">
        <f>YEAR(Table7[[#This Row],[Order_Date]])</f>
        <v>2025</v>
      </c>
      <c r="J182" t="str">
        <f>TEXT(Table7[[#This Row],[Order_Date]],"mmm")</f>
        <v>Aug</v>
      </c>
      <c r="K182" s="5">
        <v>0.14678899082568808</v>
      </c>
    </row>
    <row r="183" spans="1:11" x14ac:dyDescent="0.3">
      <c r="A183" s="3">
        <v>45889</v>
      </c>
      <c r="B183" t="s">
        <v>29</v>
      </c>
      <c r="C183" t="s">
        <v>65</v>
      </c>
      <c r="D183" t="s">
        <v>91</v>
      </c>
      <c r="E183" t="s">
        <v>23</v>
      </c>
      <c r="F183" t="s">
        <v>24</v>
      </c>
      <c r="G183">
        <v>16500</v>
      </c>
      <c r="H183">
        <v>2400</v>
      </c>
      <c r="I183">
        <f>YEAR(Table7[[#This Row],[Order_Date]])</f>
        <v>2025</v>
      </c>
      <c r="J183" t="str">
        <f>TEXT(Table7[[#This Row],[Order_Date]],"mmm")</f>
        <v>Aug</v>
      </c>
      <c r="K183" s="5">
        <v>0.14545454545454545</v>
      </c>
    </row>
    <row r="184" spans="1:11" x14ac:dyDescent="0.3">
      <c r="A184" s="3">
        <v>45890</v>
      </c>
      <c r="B184" t="s">
        <v>33</v>
      </c>
      <c r="C184" t="s">
        <v>51</v>
      </c>
      <c r="D184" t="s">
        <v>92</v>
      </c>
      <c r="E184" t="s">
        <v>18</v>
      </c>
      <c r="F184" t="s">
        <v>19</v>
      </c>
      <c r="G184">
        <v>23500</v>
      </c>
      <c r="H184">
        <v>3700</v>
      </c>
      <c r="I184">
        <f>YEAR(Table7[[#This Row],[Order_Date]])</f>
        <v>2025</v>
      </c>
      <c r="J184" t="str">
        <f>TEXT(Table7[[#This Row],[Order_Date]],"mmm")</f>
        <v>Aug</v>
      </c>
      <c r="K184" s="5">
        <v>0.1574468085106383</v>
      </c>
    </row>
    <row r="185" spans="1:11" x14ac:dyDescent="0.3">
      <c r="A185" s="3">
        <v>45891</v>
      </c>
      <c r="B185" t="s">
        <v>15</v>
      </c>
      <c r="C185" t="s">
        <v>16</v>
      </c>
      <c r="D185" t="s">
        <v>93</v>
      </c>
      <c r="E185" t="s">
        <v>18</v>
      </c>
      <c r="F185" t="s">
        <v>19</v>
      </c>
      <c r="G185">
        <v>26000</v>
      </c>
      <c r="H185">
        <v>4100</v>
      </c>
      <c r="I185">
        <f>YEAR(Table7[[#This Row],[Order_Date]])</f>
        <v>2025</v>
      </c>
      <c r="J185" t="str">
        <f>TEXT(Table7[[#This Row],[Order_Date]],"mmm")</f>
        <v>Aug</v>
      </c>
      <c r="K185" s="5">
        <v>0.15769230769230769</v>
      </c>
    </row>
    <row r="186" spans="1:11" x14ac:dyDescent="0.3">
      <c r="A186" s="3">
        <v>45892</v>
      </c>
      <c r="B186" t="s">
        <v>15</v>
      </c>
      <c r="C186" t="s">
        <v>21</v>
      </c>
      <c r="D186" t="s">
        <v>94</v>
      </c>
      <c r="E186" t="s">
        <v>23</v>
      </c>
      <c r="F186" t="s">
        <v>32</v>
      </c>
      <c r="G186">
        <v>18500</v>
      </c>
      <c r="H186">
        <v>2700</v>
      </c>
      <c r="I186">
        <f>YEAR(Table7[[#This Row],[Order_Date]])</f>
        <v>2025</v>
      </c>
      <c r="J186" t="str">
        <f>TEXT(Table7[[#This Row],[Order_Date]],"mmm")</f>
        <v>Aug</v>
      </c>
      <c r="K186" s="5">
        <v>0.14594594594594595</v>
      </c>
    </row>
    <row r="187" spans="1:11" x14ac:dyDescent="0.3">
      <c r="A187" s="3">
        <v>45924</v>
      </c>
      <c r="B187" t="s">
        <v>25</v>
      </c>
      <c r="C187" t="s">
        <v>55</v>
      </c>
      <c r="D187" t="s">
        <v>95</v>
      </c>
      <c r="E187" t="s">
        <v>18</v>
      </c>
      <c r="F187" t="s">
        <v>36</v>
      </c>
      <c r="G187">
        <v>40500</v>
      </c>
      <c r="H187">
        <v>6000</v>
      </c>
      <c r="I187">
        <f>YEAR(Table7[[#This Row],[Order_Date]])</f>
        <v>2025</v>
      </c>
      <c r="J187" t="str">
        <f>TEXT(Table7[[#This Row],[Order_Date]],"mmm")</f>
        <v>Sep</v>
      </c>
      <c r="K187" s="5">
        <v>0.14814814814814814</v>
      </c>
    </row>
    <row r="188" spans="1:11" x14ac:dyDescent="0.3">
      <c r="A188" s="3">
        <v>45925</v>
      </c>
      <c r="B188" t="s">
        <v>29</v>
      </c>
      <c r="C188" t="s">
        <v>57</v>
      </c>
      <c r="D188" t="s">
        <v>96</v>
      </c>
      <c r="E188" t="s">
        <v>23</v>
      </c>
      <c r="F188" t="s">
        <v>44</v>
      </c>
      <c r="G188">
        <v>32000</v>
      </c>
      <c r="H188">
        <v>4600</v>
      </c>
      <c r="I188">
        <f>YEAR(Table7[[#This Row],[Order_Date]])</f>
        <v>2025</v>
      </c>
      <c r="J188" t="str">
        <f>TEXT(Table7[[#This Row],[Order_Date]],"mmm")</f>
        <v>Sep</v>
      </c>
      <c r="K188" s="5">
        <v>0.14374999999999999</v>
      </c>
    </row>
    <row r="189" spans="1:11" x14ac:dyDescent="0.3">
      <c r="A189" s="3">
        <v>45926</v>
      </c>
      <c r="B189" t="s">
        <v>33</v>
      </c>
      <c r="C189" t="s">
        <v>59</v>
      </c>
      <c r="D189" t="s">
        <v>97</v>
      </c>
      <c r="E189" t="s">
        <v>18</v>
      </c>
      <c r="F189" t="s">
        <v>28</v>
      </c>
      <c r="G189">
        <v>51500</v>
      </c>
      <c r="H189">
        <v>7500</v>
      </c>
      <c r="I189">
        <f>YEAR(Table7[[#This Row],[Order_Date]])</f>
        <v>2025</v>
      </c>
      <c r="J189" t="str">
        <f>TEXT(Table7[[#This Row],[Order_Date]],"mmm")</f>
        <v>Sep</v>
      </c>
      <c r="K189" s="5">
        <v>0.14563106796116504</v>
      </c>
    </row>
    <row r="190" spans="1:11" x14ac:dyDescent="0.3">
      <c r="A190" s="3">
        <v>45927</v>
      </c>
      <c r="B190" t="s">
        <v>15</v>
      </c>
      <c r="C190" t="s">
        <v>16</v>
      </c>
      <c r="D190" t="s">
        <v>98</v>
      </c>
      <c r="E190" t="s">
        <v>18</v>
      </c>
      <c r="F190" t="s">
        <v>19</v>
      </c>
      <c r="G190">
        <v>28500</v>
      </c>
      <c r="H190">
        <v>4500</v>
      </c>
      <c r="I190">
        <f>YEAR(Table7[[#This Row],[Order_Date]])</f>
        <v>2025</v>
      </c>
      <c r="J190" t="str">
        <f>TEXT(Table7[[#This Row],[Order_Date]],"mmm")</f>
        <v>Sep</v>
      </c>
      <c r="K190" s="5">
        <v>0.15789473684210525</v>
      </c>
    </row>
    <row r="191" spans="1:11" x14ac:dyDescent="0.3">
      <c r="A191" s="3">
        <v>45928</v>
      </c>
      <c r="B191" t="s">
        <v>15</v>
      </c>
      <c r="C191" t="s">
        <v>21</v>
      </c>
      <c r="D191" t="s">
        <v>99</v>
      </c>
      <c r="E191" t="s">
        <v>23</v>
      </c>
      <c r="F191" t="s">
        <v>24</v>
      </c>
      <c r="G191">
        <v>15000</v>
      </c>
      <c r="H191">
        <v>2200</v>
      </c>
      <c r="I191">
        <f>YEAR(Table7[[#This Row],[Order_Date]])</f>
        <v>2025</v>
      </c>
      <c r="J191" t="str">
        <f>TEXT(Table7[[#This Row],[Order_Date]],"mmm")</f>
        <v>Sep</v>
      </c>
      <c r="K191" s="5">
        <v>0.14666666666666667</v>
      </c>
    </row>
    <row r="192" spans="1:11" x14ac:dyDescent="0.3">
      <c r="A192" s="3">
        <v>45929</v>
      </c>
      <c r="B192" t="s">
        <v>25</v>
      </c>
      <c r="C192" t="s">
        <v>63</v>
      </c>
      <c r="D192" t="s">
        <v>100</v>
      </c>
      <c r="E192" t="s">
        <v>18</v>
      </c>
      <c r="F192" t="s">
        <v>28</v>
      </c>
      <c r="G192">
        <v>52500</v>
      </c>
      <c r="H192">
        <v>7700</v>
      </c>
      <c r="I192">
        <f>YEAR(Table7[[#This Row],[Order_Date]])</f>
        <v>2025</v>
      </c>
      <c r="J192" t="str">
        <f>TEXT(Table7[[#This Row],[Order_Date]],"mmm")</f>
        <v>Sep</v>
      </c>
      <c r="K192" s="5">
        <v>0.14666666666666667</v>
      </c>
    </row>
    <row r="193" spans="1:11" x14ac:dyDescent="0.3">
      <c r="A193" s="3">
        <v>45931</v>
      </c>
      <c r="B193" t="s">
        <v>29</v>
      </c>
      <c r="C193" t="s">
        <v>73</v>
      </c>
      <c r="D193" t="s">
        <v>101</v>
      </c>
      <c r="E193" t="s">
        <v>23</v>
      </c>
      <c r="F193" t="s">
        <v>32</v>
      </c>
      <c r="G193">
        <v>19500</v>
      </c>
      <c r="H193">
        <v>2900</v>
      </c>
      <c r="I193">
        <f>YEAR(Table7[[#This Row],[Order_Date]])</f>
        <v>2025</v>
      </c>
      <c r="J193" t="str">
        <f>TEXT(Table7[[#This Row],[Order_Date]],"mmm")</f>
        <v>Oct</v>
      </c>
      <c r="K193" s="5">
        <v>0.14871794871794872</v>
      </c>
    </row>
    <row r="194" spans="1:11" x14ac:dyDescent="0.3">
      <c r="A194" s="3">
        <v>45932</v>
      </c>
      <c r="B194" t="s">
        <v>33</v>
      </c>
      <c r="C194" t="s">
        <v>75</v>
      </c>
      <c r="D194" t="s">
        <v>96</v>
      </c>
      <c r="E194" t="s">
        <v>18</v>
      </c>
      <c r="F194" t="s">
        <v>19</v>
      </c>
      <c r="G194">
        <v>24500</v>
      </c>
      <c r="H194">
        <v>3900</v>
      </c>
      <c r="I194">
        <f>YEAR(Table7[[#This Row],[Order_Date]])</f>
        <v>2025</v>
      </c>
      <c r="J194" t="str">
        <f>TEXT(Table7[[#This Row],[Order_Date]],"mmm")</f>
        <v>Oct</v>
      </c>
      <c r="K194" s="5">
        <v>0.15918367346938775</v>
      </c>
    </row>
    <row r="195" spans="1:11" x14ac:dyDescent="0.3">
      <c r="A195" s="3">
        <v>45933</v>
      </c>
      <c r="B195" t="s">
        <v>15</v>
      </c>
      <c r="C195" t="s">
        <v>21</v>
      </c>
      <c r="D195" t="s">
        <v>22</v>
      </c>
      <c r="E195" t="s">
        <v>23</v>
      </c>
      <c r="F195" t="s">
        <v>24</v>
      </c>
      <c r="G195">
        <v>15000</v>
      </c>
      <c r="H195">
        <v>2000</v>
      </c>
      <c r="I195">
        <f>YEAR(Table7[[#This Row],[Order_Date]])</f>
        <v>2025</v>
      </c>
      <c r="J195" t="str">
        <f>TEXT(Table7[[#This Row],[Order_Date]],"mmm")</f>
        <v>Oct</v>
      </c>
      <c r="K195" s="5">
        <v>0.13333333333333333</v>
      </c>
    </row>
    <row r="196" spans="1:11" x14ac:dyDescent="0.3">
      <c r="A196" s="3">
        <v>45934</v>
      </c>
      <c r="B196" t="s">
        <v>25</v>
      </c>
      <c r="C196" t="s">
        <v>26</v>
      </c>
      <c r="D196" t="s">
        <v>27</v>
      </c>
      <c r="E196" t="s">
        <v>18</v>
      </c>
      <c r="F196" t="s">
        <v>28</v>
      </c>
      <c r="G196">
        <v>55000</v>
      </c>
      <c r="H196">
        <v>8000</v>
      </c>
      <c r="I196">
        <f>YEAR(Table7[[#This Row],[Order_Date]])</f>
        <v>2025</v>
      </c>
      <c r="J196" t="str">
        <f>TEXT(Table7[[#This Row],[Order_Date]],"mmm")</f>
        <v>Oct</v>
      </c>
      <c r="K196" s="5">
        <v>0.14545454545454545</v>
      </c>
    </row>
    <row r="197" spans="1:11" x14ac:dyDescent="0.3">
      <c r="A197" s="3">
        <v>45935</v>
      </c>
      <c r="B197" t="s">
        <v>29</v>
      </c>
      <c r="C197" t="s">
        <v>30</v>
      </c>
      <c r="D197" t="s">
        <v>31</v>
      </c>
      <c r="E197" t="s">
        <v>23</v>
      </c>
      <c r="F197" t="s">
        <v>32</v>
      </c>
      <c r="G197">
        <v>20000</v>
      </c>
      <c r="H197">
        <v>3000</v>
      </c>
      <c r="I197">
        <f>YEAR(Table7[[#This Row],[Order_Date]])</f>
        <v>2025</v>
      </c>
      <c r="J197" t="str">
        <f>TEXT(Table7[[#This Row],[Order_Date]],"mmm")</f>
        <v>Oct</v>
      </c>
      <c r="K197" s="5">
        <v>0.15</v>
      </c>
    </row>
    <row r="198" spans="1:11" x14ac:dyDescent="0.3">
      <c r="A198" s="3">
        <v>45962</v>
      </c>
      <c r="B198" t="s">
        <v>33</v>
      </c>
      <c r="C198" t="s">
        <v>34</v>
      </c>
      <c r="D198" t="s">
        <v>35</v>
      </c>
      <c r="E198" t="s">
        <v>18</v>
      </c>
      <c r="F198" t="s">
        <v>36</v>
      </c>
      <c r="G198">
        <v>40000</v>
      </c>
      <c r="H198">
        <v>6000</v>
      </c>
      <c r="I198">
        <f>YEAR(Table7[[#This Row],[Order_Date]])</f>
        <v>2025</v>
      </c>
      <c r="J198" t="str">
        <f>TEXT(Table7[[#This Row],[Order_Date]],"mmm")</f>
        <v>Nov</v>
      </c>
      <c r="K198" s="5">
        <v>0.15</v>
      </c>
    </row>
    <row r="199" spans="1:11" x14ac:dyDescent="0.3">
      <c r="A199" s="3">
        <v>45963</v>
      </c>
      <c r="B199" t="s">
        <v>15</v>
      </c>
      <c r="C199" t="s">
        <v>21</v>
      </c>
      <c r="D199" t="s">
        <v>37</v>
      </c>
      <c r="E199" t="s">
        <v>18</v>
      </c>
      <c r="F199" t="s">
        <v>38</v>
      </c>
      <c r="G199">
        <v>8000</v>
      </c>
      <c r="H199">
        <v>1500</v>
      </c>
      <c r="I199">
        <f>YEAR(Table7[[#This Row],[Order_Date]])</f>
        <v>2025</v>
      </c>
      <c r="J199" t="str">
        <f>TEXT(Table7[[#This Row],[Order_Date]],"mmm")</f>
        <v>Nov</v>
      </c>
      <c r="K199" s="5">
        <v>0.1875</v>
      </c>
    </row>
    <row r="200" spans="1:11" x14ac:dyDescent="0.3">
      <c r="A200" s="3">
        <v>45964</v>
      </c>
      <c r="B200" t="s">
        <v>25</v>
      </c>
      <c r="C200" t="s">
        <v>3</v>
      </c>
      <c r="D200" t="s">
        <v>39</v>
      </c>
      <c r="E200" t="s">
        <v>23</v>
      </c>
      <c r="F200" t="s">
        <v>40</v>
      </c>
      <c r="G200">
        <v>60000</v>
      </c>
      <c r="H200">
        <v>9000</v>
      </c>
      <c r="I200">
        <f>YEAR(Table7[[#This Row],[Order_Date]])</f>
        <v>2025</v>
      </c>
      <c r="J200" t="str">
        <f>TEXT(Table7[[#This Row],[Order_Date]],"mmm")</f>
        <v>Nov</v>
      </c>
      <c r="K200" s="5">
        <v>0.15</v>
      </c>
    </row>
    <row r="201" spans="1:11" x14ac:dyDescent="0.3">
      <c r="A201" s="3">
        <v>45965</v>
      </c>
      <c r="B201" t="s">
        <v>29</v>
      </c>
      <c r="C201" t="s">
        <v>30</v>
      </c>
      <c r="D201" t="s">
        <v>41</v>
      </c>
      <c r="E201" t="s">
        <v>18</v>
      </c>
      <c r="F201" t="s">
        <v>28</v>
      </c>
      <c r="G201">
        <v>52000</v>
      </c>
      <c r="H201">
        <v>7500</v>
      </c>
      <c r="I201">
        <f>YEAR(Table7[[#This Row],[Order_Date]])</f>
        <v>2025</v>
      </c>
      <c r="J201" t="str">
        <f>TEXT(Table7[[#This Row],[Order_Date]],"mmm")</f>
        <v>Nov</v>
      </c>
      <c r="K201" s="5">
        <v>0.14423076923076922</v>
      </c>
    </row>
    <row r="202" spans="1:11" x14ac:dyDescent="0.3">
      <c r="A202" s="3">
        <v>45966</v>
      </c>
      <c r="B202" t="s">
        <v>33</v>
      </c>
      <c r="C202" t="s">
        <v>42</v>
      </c>
      <c r="D202" t="s">
        <v>43</v>
      </c>
      <c r="E202" t="s">
        <v>23</v>
      </c>
      <c r="F202" t="s">
        <v>44</v>
      </c>
      <c r="G202">
        <v>30000</v>
      </c>
      <c r="H202">
        <v>4000</v>
      </c>
      <c r="I202">
        <f>YEAR(Table7[[#This Row],[Order_Date]])</f>
        <v>2025</v>
      </c>
      <c r="J202" t="str">
        <f>TEXT(Table7[[#This Row],[Order_Date]],"mmm")</f>
        <v>Nov</v>
      </c>
      <c r="K202" s="5">
        <v>0.13333333333333333</v>
      </c>
    </row>
    <row r="203" spans="1:11" x14ac:dyDescent="0.3">
      <c r="A203" s="3">
        <v>45992</v>
      </c>
      <c r="B203" t="s">
        <v>15</v>
      </c>
      <c r="C203" t="s">
        <v>16</v>
      </c>
      <c r="D203" t="s">
        <v>17</v>
      </c>
      <c r="E203" t="s">
        <v>18</v>
      </c>
      <c r="F203" t="s">
        <v>19</v>
      </c>
      <c r="G203">
        <v>31000</v>
      </c>
      <c r="H203">
        <v>5200</v>
      </c>
      <c r="I203">
        <f>YEAR(Table7[[#This Row],[Order_Date]])</f>
        <v>2025</v>
      </c>
      <c r="J203" t="str">
        <f>TEXT(Table7[[#This Row],[Order_Date]],"mmm")</f>
        <v>Dec</v>
      </c>
      <c r="K203" s="5">
        <v>0.16774193548387098</v>
      </c>
    </row>
    <row r="204" spans="1:11" x14ac:dyDescent="0.3">
      <c r="A204" s="3">
        <v>45993</v>
      </c>
      <c r="B204" t="s">
        <v>15</v>
      </c>
      <c r="C204" t="s">
        <v>21</v>
      </c>
      <c r="D204" t="s">
        <v>80</v>
      </c>
      <c r="E204" t="s">
        <v>23</v>
      </c>
      <c r="F204" t="s">
        <v>24</v>
      </c>
      <c r="G204">
        <v>14500</v>
      </c>
      <c r="H204">
        <v>2000</v>
      </c>
      <c r="I204">
        <f>YEAR(Table7[[#This Row],[Order_Date]])</f>
        <v>2025</v>
      </c>
      <c r="J204" t="str">
        <f>TEXT(Table7[[#This Row],[Order_Date]],"mmm")</f>
        <v>Dec</v>
      </c>
      <c r="K204" s="5">
        <v>0.13793103448275862</v>
      </c>
    </row>
    <row r="205" spans="1:11" x14ac:dyDescent="0.3">
      <c r="A205" s="3">
        <v>45994</v>
      </c>
      <c r="B205" t="s">
        <v>25</v>
      </c>
      <c r="C205" t="s">
        <v>47</v>
      </c>
      <c r="D205" t="s">
        <v>81</v>
      </c>
      <c r="E205" t="s">
        <v>18</v>
      </c>
      <c r="F205" t="s">
        <v>28</v>
      </c>
      <c r="G205">
        <v>58000</v>
      </c>
      <c r="H205">
        <v>8400</v>
      </c>
      <c r="I205">
        <f>YEAR(Table7[[#This Row],[Order_Date]])</f>
        <v>2025</v>
      </c>
      <c r="J205" t="str">
        <f>TEXT(Table7[[#This Row],[Order_Date]],"mmm")</f>
        <v>Dec</v>
      </c>
      <c r="K205" s="5">
        <v>0.14482758620689656</v>
      </c>
    </row>
    <row r="206" spans="1:11" x14ac:dyDescent="0.3">
      <c r="A206" s="3">
        <v>45995</v>
      </c>
      <c r="B206" t="s">
        <v>29</v>
      </c>
      <c r="C206" t="s">
        <v>49</v>
      </c>
      <c r="D206" t="s">
        <v>82</v>
      </c>
      <c r="E206" t="s">
        <v>23</v>
      </c>
      <c r="F206" t="s">
        <v>44</v>
      </c>
      <c r="G206">
        <v>33000</v>
      </c>
      <c r="H206">
        <v>4700</v>
      </c>
      <c r="I206">
        <f>YEAR(Table7[[#This Row],[Order_Date]])</f>
        <v>2025</v>
      </c>
      <c r="J206" t="str">
        <f>TEXT(Table7[[#This Row],[Order_Date]],"mmm")</f>
        <v>Dec</v>
      </c>
      <c r="K206" s="5">
        <v>0.14242424242424243</v>
      </c>
    </row>
    <row r="207" spans="1:11" x14ac:dyDescent="0.3">
      <c r="A207" s="3">
        <v>45996</v>
      </c>
      <c r="B207" t="s">
        <v>33</v>
      </c>
      <c r="C207" t="s">
        <v>42</v>
      </c>
      <c r="D207" t="s">
        <v>83</v>
      </c>
      <c r="E207" t="s">
        <v>18</v>
      </c>
      <c r="F207" t="s">
        <v>36</v>
      </c>
      <c r="G207">
        <v>39000</v>
      </c>
      <c r="H207">
        <v>5800</v>
      </c>
      <c r="I207">
        <f>YEAR(Table7[[#This Row],[Order_Date]])</f>
        <v>2025</v>
      </c>
      <c r="J207" t="str">
        <f>TEXT(Table7[[#This Row],[Order_Date]],"mmm")</f>
        <v>Dec</v>
      </c>
      <c r="K207" s="5">
        <v>0.14871794871794872</v>
      </c>
    </row>
    <row r="208" spans="1:11" x14ac:dyDescent="0.3">
      <c r="A208" s="3">
        <v>45997</v>
      </c>
      <c r="B208" t="s">
        <v>15</v>
      </c>
      <c r="C208" t="s">
        <v>16</v>
      </c>
      <c r="D208" t="s">
        <v>20</v>
      </c>
      <c r="E208" t="s">
        <v>18</v>
      </c>
      <c r="F208" t="s">
        <v>19</v>
      </c>
      <c r="G208">
        <v>29500</v>
      </c>
      <c r="H208">
        <v>4800</v>
      </c>
      <c r="I208">
        <f>YEAR(Table7[[#This Row],[Order_Date]])</f>
        <v>2025</v>
      </c>
      <c r="J208" t="str">
        <f>TEXT(Table7[[#This Row],[Order_Date]],"mmm")</f>
        <v>Dec</v>
      </c>
      <c r="K208" s="5">
        <v>0.16271186440677965</v>
      </c>
    </row>
    <row r="209" spans="1:11" x14ac:dyDescent="0.3">
      <c r="A209" s="3">
        <v>45998</v>
      </c>
      <c r="B209" t="s">
        <v>15</v>
      </c>
      <c r="C209" t="s">
        <v>21</v>
      </c>
      <c r="D209" t="s">
        <v>22</v>
      </c>
      <c r="E209" t="s">
        <v>23</v>
      </c>
      <c r="F209" t="s">
        <v>40</v>
      </c>
      <c r="G209">
        <v>62000</v>
      </c>
      <c r="H209">
        <v>9200</v>
      </c>
      <c r="I209">
        <f>YEAR(Table7[[#This Row],[Order_Date]])</f>
        <v>2025</v>
      </c>
      <c r="J209" t="str">
        <f>TEXT(Table7[[#This Row],[Order_Date]],"mmm")</f>
        <v>Dec</v>
      </c>
      <c r="K209" s="5">
        <v>0.14838709677419354</v>
      </c>
    </row>
    <row r="210" spans="1:11" x14ac:dyDescent="0.3">
      <c r="A210" s="3">
        <v>45999</v>
      </c>
      <c r="B210" t="s">
        <v>25</v>
      </c>
      <c r="C210" t="s">
        <v>26</v>
      </c>
      <c r="D210" t="s">
        <v>27</v>
      </c>
      <c r="E210" t="s">
        <v>18</v>
      </c>
      <c r="F210" t="s">
        <v>28</v>
      </c>
      <c r="G210">
        <v>56000</v>
      </c>
      <c r="H210">
        <v>8100</v>
      </c>
      <c r="I210">
        <f>YEAR(Table7[[#This Row],[Order_Date]])</f>
        <v>2025</v>
      </c>
      <c r="J210" t="str">
        <f>TEXT(Table7[[#This Row],[Order_Date]],"mmm")</f>
        <v>Dec</v>
      </c>
      <c r="K210" s="5">
        <v>0.14464285714285716</v>
      </c>
    </row>
    <row r="211" spans="1:11" x14ac:dyDescent="0.3">
      <c r="A211" s="3">
        <v>46000</v>
      </c>
      <c r="B211" t="s">
        <v>29</v>
      </c>
      <c r="C211" t="s">
        <v>30</v>
      </c>
      <c r="D211" t="s">
        <v>78</v>
      </c>
      <c r="E211" t="s">
        <v>23</v>
      </c>
      <c r="F211" t="s">
        <v>32</v>
      </c>
      <c r="G211">
        <v>21000</v>
      </c>
      <c r="H211">
        <v>3100</v>
      </c>
      <c r="I211">
        <f>YEAR(Table7[[#This Row],[Order_Date]])</f>
        <v>2025</v>
      </c>
      <c r="J211" t="str">
        <f>TEXT(Table7[[#This Row],[Order_Date]],"mmm")</f>
        <v>Dec</v>
      </c>
      <c r="K211" s="5">
        <v>0.14761904761904762</v>
      </c>
    </row>
    <row r="212" spans="1:11" x14ac:dyDescent="0.3">
      <c r="A212" s="3">
        <v>46001</v>
      </c>
      <c r="B212" t="s">
        <v>33</v>
      </c>
      <c r="C212" t="s">
        <v>34</v>
      </c>
      <c r="D212" t="s">
        <v>79</v>
      </c>
      <c r="E212" t="s">
        <v>18</v>
      </c>
      <c r="F212" t="s">
        <v>19</v>
      </c>
      <c r="G212">
        <v>27000</v>
      </c>
      <c r="H212">
        <v>4100</v>
      </c>
      <c r="I212">
        <f>YEAR(Table7[[#This Row],[Order_Date]])</f>
        <v>2025</v>
      </c>
      <c r="J212" t="str">
        <f>TEXT(Table7[[#This Row],[Order_Date]],"mmm")</f>
        <v>Dec</v>
      </c>
      <c r="K212" s="5">
        <v>0.15185185185185185</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D56487-B48D-48B7-A018-8D6AB7995EDB}">
  <sheetPr>
    <tabColor rgb="FF7030A0"/>
  </sheetPr>
  <dimension ref="A1:K212"/>
  <sheetViews>
    <sheetView zoomScale="82" workbookViewId="0">
      <selection activeCell="R8" sqref="R8"/>
    </sheetView>
  </sheetViews>
  <sheetFormatPr defaultRowHeight="14.4" x14ac:dyDescent="0.3"/>
  <cols>
    <col min="1" max="1" width="13" bestFit="1" customWidth="1"/>
    <col min="2" max="2" width="9.5546875" bestFit="1" customWidth="1"/>
    <col min="3" max="3" width="8.109375" bestFit="1" customWidth="1"/>
    <col min="4" max="4" width="12.5546875" bestFit="1" customWidth="1"/>
    <col min="5" max="5" width="11.33203125" bestFit="1" customWidth="1"/>
    <col min="6" max="6" width="10.33203125" bestFit="1" customWidth="1"/>
    <col min="7" max="8" width="8.33203125" bestFit="1" customWidth="1"/>
    <col min="9" max="9" width="7.44140625" bestFit="1" customWidth="1"/>
    <col min="10" max="10" width="9" bestFit="1" customWidth="1"/>
    <col min="11" max="11" width="10.6640625" bestFit="1" customWidth="1"/>
  </cols>
  <sheetData>
    <row r="1" spans="1:11" x14ac:dyDescent="0.3">
      <c r="A1" t="s">
        <v>104</v>
      </c>
      <c r="B1" t="s">
        <v>9</v>
      </c>
      <c r="C1" t="s">
        <v>10</v>
      </c>
      <c r="D1" t="s">
        <v>11</v>
      </c>
      <c r="E1" t="s">
        <v>12</v>
      </c>
      <c r="F1" t="s">
        <v>13</v>
      </c>
      <c r="G1" t="s">
        <v>4</v>
      </c>
      <c r="H1" t="s">
        <v>14</v>
      </c>
      <c r="I1" t="s">
        <v>102</v>
      </c>
      <c r="J1" t="s">
        <v>2</v>
      </c>
      <c r="K1" t="s">
        <v>105</v>
      </c>
    </row>
    <row r="2" spans="1:11" x14ac:dyDescent="0.3">
      <c r="A2" s="3">
        <v>45292</v>
      </c>
      <c r="B2" t="s">
        <v>15</v>
      </c>
      <c r="C2" t="s">
        <v>16</v>
      </c>
      <c r="D2" t="s">
        <v>17</v>
      </c>
      <c r="E2" t="s">
        <v>18</v>
      </c>
      <c r="F2" t="s">
        <v>19</v>
      </c>
      <c r="G2">
        <v>30000</v>
      </c>
      <c r="H2">
        <v>5000</v>
      </c>
      <c r="I2">
        <v>2024</v>
      </c>
      <c r="J2" t="s">
        <v>5</v>
      </c>
      <c r="K2" s="5">
        <v>0.16666666666666666</v>
      </c>
    </row>
    <row r="3" spans="1:11" x14ac:dyDescent="0.3">
      <c r="A3" s="3">
        <v>45293</v>
      </c>
      <c r="B3" t="s">
        <v>15</v>
      </c>
      <c r="C3" t="s">
        <v>16</v>
      </c>
      <c r="D3" t="s">
        <v>20</v>
      </c>
      <c r="E3" t="s">
        <v>18</v>
      </c>
      <c r="F3" t="s">
        <v>19</v>
      </c>
      <c r="G3">
        <v>28000</v>
      </c>
      <c r="H3">
        <v>4500</v>
      </c>
      <c r="I3">
        <v>2024</v>
      </c>
      <c r="J3" t="s">
        <v>5</v>
      </c>
      <c r="K3" s="5">
        <v>0.16071428571428573</v>
      </c>
    </row>
    <row r="4" spans="1:11" x14ac:dyDescent="0.3">
      <c r="A4" s="3">
        <v>45294</v>
      </c>
      <c r="B4" t="s">
        <v>15</v>
      </c>
      <c r="C4" t="s">
        <v>21</v>
      </c>
      <c r="D4" t="s">
        <v>22</v>
      </c>
      <c r="E4" t="s">
        <v>23</v>
      </c>
      <c r="F4" t="s">
        <v>24</v>
      </c>
      <c r="G4">
        <v>15000</v>
      </c>
      <c r="H4">
        <v>2000</v>
      </c>
      <c r="I4">
        <v>2024</v>
      </c>
      <c r="J4" t="s">
        <v>5</v>
      </c>
      <c r="K4" s="5">
        <v>0.13333333333333333</v>
      </c>
    </row>
    <row r="5" spans="1:11" x14ac:dyDescent="0.3">
      <c r="A5" s="3">
        <v>45295</v>
      </c>
      <c r="B5" t="s">
        <v>25</v>
      </c>
      <c r="C5" t="s">
        <v>26</v>
      </c>
      <c r="D5" t="s">
        <v>27</v>
      </c>
      <c r="E5" t="s">
        <v>18</v>
      </c>
      <c r="F5" t="s">
        <v>28</v>
      </c>
      <c r="G5">
        <v>55000</v>
      </c>
      <c r="H5">
        <v>8000</v>
      </c>
      <c r="I5">
        <v>2024</v>
      </c>
      <c r="J5" t="s">
        <v>5</v>
      </c>
      <c r="K5" s="5">
        <v>0.14545454545454545</v>
      </c>
    </row>
    <row r="6" spans="1:11" x14ac:dyDescent="0.3">
      <c r="A6" s="3">
        <v>45296</v>
      </c>
      <c r="B6" t="s">
        <v>29</v>
      </c>
      <c r="C6" t="s">
        <v>30</v>
      </c>
      <c r="D6" t="s">
        <v>31</v>
      </c>
      <c r="E6" t="s">
        <v>23</v>
      </c>
      <c r="F6" t="s">
        <v>32</v>
      </c>
      <c r="G6">
        <v>20000</v>
      </c>
      <c r="H6">
        <v>3000</v>
      </c>
      <c r="I6">
        <v>2024</v>
      </c>
      <c r="J6" t="s">
        <v>5</v>
      </c>
      <c r="K6" s="5">
        <v>0.15</v>
      </c>
    </row>
    <row r="7" spans="1:11" x14ac:dyDescent="0.3">
      <c r="A7" s="3">
        <v>45297</v>
      </c>
      <c r="B7" t="s">
        <v>33</v>
      </c>
      <c r="C7" t="s">
        <v>34</v>
      </c>
      <c r="D7" t="s">
        <v>35</v>
      </c>
      <c r="E7" t="s">
        <v>18</v>
      </c>
      <c r="F7" t="s">
        <v>36</v>
      </c>
      <c r="G7">
        <v>40000</v>
      </c>
      <c r="H7">
        <v>6000</v>
      </c>
      <c r="I7">
        <v>2024</v>
      </c>
      <c r="J7" t="s">
        <v>5</v>
      </c>
      <c r="K7" s="5">
        <v>0.15</v>
      </c>
    </row>
    <row r="8" spans="1:11" x14ac:dyDescent="0.3">
      <c r="A8" s="3">
        <v>45298</v>
      </c>
      <c r="B8" t="s">
        <v>15</v>
      </c>
      <c r="C8" t="s">
        <v>21</v>
      </c>
      <c r="D8" t="s">
        <v>37</v>
      </c>
      <c r="E8" t="s">
        <v>18</v>
      </c>
      <c r="F8" t="s">
        <v>38</v>
      </c>
      <c r="G8">
        <v>8000</v>
      </c>
      <c r="H8">
        <v>1500</v>
      </c>
      <c r="I8">
        <v>2024</v>
      </c>
      <c r="J8" t="s">
        <v>5</v>
      </c>
      <c r="K8" s="5">
        <v>0.1875</v>
      </c>
    </row>
    <row r="9" spans="1:11" x14ac:dyDescent="0.3">
      <c r="A9" s="3">
        <v>45299</v>
      </c>
      <c r="B9" t="s">
        <v>25</v>
      </c>
      <c r="C9" t="s">
        <v>3</v>
      </c>
      <c r="D9" t="s">
        <v>39</v>
      </c>
      <c r="E9" t="s">
        <v>23</v>
      </c>
      <c r="F9" t="s">
        <v>40</v>
      </c>
      <c r="G9">
        <v>60000</v>
      </c>
      <c r="H9">
        <v>9000</v>
      </c>
      <c r="I9">
        <v>2024</v>
      </c>
      <c r="J9" t="s">
        <v>5</v>
      </c>
      <c r="K9" s="5">
        <v>0.15</v>
      </c>
    </row>
    <row r="10" spans="1:11" x14ac:dyDescent="0.3">
      <c r="A10" s="3">
        <v>45300</v>
      </c>
      <c r="B10" t="s">
        <v>29</v>
      </c>
      <c r="C10" t="s">
        <v>30</v>
      </c>
      <c r="D10" t="s">
        <v>41</v>
      </c>
      <c r="E10" t="s">
        <v>18</v>
      </c>
      <c r="F10" t="s">
        <v>28</v>
      </c>
      <c r="G10">
        <v>52000</v>
      </c>
      <c r="H10">
        <v>7500</v>
      </c>
      <c r="I10">
        <v>2024</v>
      </c>
      <c r="J10" t="s">
        <v>5</v>
      </c>
      <c r="K10" s="5">
        <v>0.14423076923076922</v>
      </c>
    </row>
    <row r="11" spans="1:11" x14ac:dyDescent="0.3">
      <c r="A11" s="3">
        <v>45301</v>
      </c>
      <c r="B11" t="s">
        <v>33</v>
      </c>
      <c r="C11" t="s">
        <v>42</v>
      </c>
      <c r="D11" t="s">
        <v>43</v>
      </c>
      <c r="E11" t="s">
        <v>23</v>
      </c>
      <c r="F11" t="s">
        <v>44</v>
      </c>
      <c r="G11">
        <v>30000</v>
      </c>
      <c r="H11">
        <v>4000</v>
      </c>
      <c r="I11">
        <v>2024</v>
      </c>
      <c r="J11" t="s">
        <v>5</v>
      </c>
      <c r="K11" s="5">
        <v>0.13333333333333333</v>
      </c>
    </row>
    <row r="12" spans="1:11" x14ac:dyDescent="0.3">
      <c r="A12" s="3">
        <v>45302</v>
      </c>
      <c r="B12" t="s">
        <v>15</v>
      </c>
      <c r="C12" t="s">
        <v>16</v>
      </c>
      <c r="D12" t="s">
        <v>45</v>
      </c>
      <c r="E12" t="s">
        <v>18</v>
      </c>
      <c r="F12" t="s">
        <v>19</v>
      </c>
      <c r="G12">
        <v>25000</v>
      </c>
      <c r="H12">
        <v>4200</v>
      </c>
      <c r="I12">
        <v>2024</v>
      </c>
      <c r="J12" t="s">
        <v>5</v>
      </c>
      <c r="K12" s="5">
        <v>0.16800000000000001</v>
      </c>
    </row>
    <row r="13" spans="1:11" x14ac:dyDescent="0.3">
      <c r="A13" s="3">
        <v>45303</v>
      </c>
      <c r="B13" t="s">
        <v>15</v>
      </c>
      <c r="C13" t="s">
        <v>16</v>
      </c>
      <c r="D13" t="s">
        <v>46</v>
      </c>
      <c r="E13" t="s">
        <v>23</v>
      </c>
      <c r="F13" t="s">
        <v>32</v>
      </c>
      <c r="G13">
        <v>18000</v>
      </c>
      <c r="H13">
        <v>2600</v>
      </c>
      <c r="I13">
        <v>2024</v>
      </c>
      <c r="J13" t="s">
        <v>5</v>
      </c>
      <c r="K13" s="5">
        <v>0.14444444444444443</v>
      </c>
    </row>
    <row r="14" spans="1:11" x14ac:dyDescent="0.3">
      <c r="A14" s="3">
        <v>45304</v>
      </c>
      <c r="B14" t="s">
        <v>25</v>
      </c>
      <c r="C14" t="s">
        <v>47</v>
      </c>
      <c r="D14" t="s">
        <v>48</v>
      </c>
      <c r="E14" t="s">
        <v>18</v>
      </c>
      <c r="F14" t="s">
        <v>36</v>
      </c>
      <c r="G14">
        <v>38000</v>
      </c>
      <c r="H14">
        <v>5600</v>
      </c>
      <c r="I14">
        <v>2024</v>
      </c>
      <c r="J14" t="s">
        <v>5</v>
      </c>
      <c r="K14" s="5">
        <v>0.14736842105263157</v>
      </c>
    </row>
    <row r="15" spans="1:11" x14ac:dyDescent="0.3">
      <c r="A15" s="3">
        <v>45305</v>
      </c>
      <c r="B15" t="s">
        <v>29</v>
      </c>
      <c r="C15" t="s">
        <v>49</v>
      </c>
      <c r="D15" t="s">
        <v>50</v>
      </c>
      <c r="E15" t="s">
        <v>23</v>
      </c>
      <c r="F15" t="s">
        <v>24</v>
      </c>
      <c r="G15">
        <v>16000</v>
      </c>
      <c r="H15">
        <v>2200</v>
      </c>
      <c r="I15">
        <v>2024</v>
      </c>
      <c r="J15" t="s">
        <v>5</v>
      </c>
      <c r="K15" s="5">
        <v>0.13750000000000001</v>
      </c>
    </row>
    <row r="16" spans="1:11" x14ac:dyDescent="0.3">
      <c r="A16" s="3">
        <v>45306</v>
      </c>
      <c r="B16" t="s">
        <v>33</v>
      </c>
      <c r="C16" t="s">
        <v>51</v>
      </c>
      <c r="D16" t="s">
        <v>52</v>
      </c>
      <c r="E16" t="s">
        <v>18</v>
      </c>
      <c r="F16" t="s">
        <v>28</v>
      </c>
      <c r="G16">
        <v>50000</v>
      </c>
      <c r="H16">
        <v>7200</v>
      </c>
      <c r="I16">
        <v>2024</v>
      </c>
      <c r="J16" t="s">
        <v>5</v>
      </c>
      <c r="K16" s="5">
        <v>0.14399999999999999</v>
      </c>
    </row>
    <row r="17" spans="1:11" x14ac:dyDescent="0.3">
      <c r="A17" s="3">
        <v>45307</v>
      </c>
      <c r="B17" t="s">
        <v>15</v>
      </c>
      <c r="C17" t="s">
        <v>21</v>
      </c>
      <c r="D17" t="s">
        <v>53</v>
      </c>
      <c r="E17" t="s">
        <v>18</v>
      </c>
      <c r="F17" t="s">
        <v>19</v>
      </c>
      <c r="G17">
        <v>27000</v>
      </c>
      <c r="H17">
        <v>4300</v>
      </c>
      <c r="I17">
        <v>2024</v>
      </c>
      <c r="J17" t="s">
        <v>5</v>
      </c>
      <c r="K17" s="5">
        <v>0.15925925925925927</v>
      </c>
    </row>
    <row r="18" spans="1:11" x14ac:dyDescent="0.3">
      <c r="A18" s="3">
        <v>45308</v>
      </c>
      <c r="B18" t="s">
        <v>15</v>
      </c>
      <c r="C18" t="s">
        <v>16</v>
      </c>
      <c r="D18" t="s">
        <v>54</v>
      </c>
      <c r="E18" t="s">
        <v>23</v>
      </c>
      <c r="F18" t="s">
        <v>44</v>
      </c>
      <c r="G18">
        <v>32000</v>
      </c>
      <c r="H18">
        <v>4500</v>
      </c>
      <c r="I18">
        <v>2024</v>
      </c>
      <c r="J18" t="s">
        <v>5</v>
      </c>
      <c r="K18" s="5">
        <v>0.140625</v>
      </c>
    </row>
    <row r="19" spans="1:11" x14ac:dyDescent="0.3">
      <c r="A19" s="3">
        <v>45309</v>
      </c>
      <c r="B19" t="s">
        <v>25</v>
      </c>
      <c r="C19" t="s">
        <v>55</v>
      </c>
      <c r="D19" t="s">
        <v>56</v>
      </c>
      <c r="E19" t="s">
        <v>18</v>
      </c>
      <c r="F19" t="s">
        <v>36</v>
      </c>
      <c r="G19">
        <v>41000</v>
      </c>
      <c r="H19">
        <v>6100</v>
      </c>
      <c r="I19">
        <v>2024</v>
      </c>
      <c r="J19" t="s">
        <v>5</v>
      </c>
      <c r="K19" s="5">
        <v>0.14878048780487804</v>
      </c>
    </row>
    <row r="20" spans="1:11" x14ac:dyDescent="0.3">
      <c r="A20" s="3">
        <v>45310</v>
      </c>
      <c r="B20" t="s">
        <v>29</v>
      </c>
      <c r="C20" t="s">
        <v>57</v>
      </c>
      <c r="D20" t="s">
        <v>58</v>
      </c>
      <c r="E20" t="s">
        <v>23</v>
      </c>
      <c r="F20" t="s">
        <v>40</v>
      </c>
      <c r="G20">
        <v>58000</v>
      </c>
      <c r="H20">
        <v>8500</v>
      </c>
      <c r="I20">
        <v>2024</v>
      </c>
      <c r="J20" t="s">
        <v>5</v>
      </c>
      <c r="K20" s="5">
        <v>0.14655172413793102</v>
      </c>
    </row>
    <row r="21" spans="1:11" x14ac:dyDescent="0.3">
      <c r="A21" s="3">
        <v>45311</v>
      </c>
      <c r="B21" t="s">
        <v>33</v>
      </c>
      <c r="C21" t="s">
        <v>59</v>
      </c>
      <c r="D21" t="s">
        <v>60</v>
      </c>
      <c r="E21" t="s">
        <v>18</v>
      </c>
      <c r="F21" t="s">
        <v>19</v>
      </c>
      <c r="G21">
        <v>26000</v>
      </c>
      <c r="H21">
        <v>3900</v>
      </c>
      <c r="I21">
        <v>2024</v>
      </c>
      <c r="J21" t="s">
        <v>5</v>
      </c>
      <c r="K21" s="5">
        <v>0.15</v>
      </c>
    </row>
    <row r="22" spans="1:11" x14ac:dyDescent="0.3">
      <c r="A22" s="3">
        <v>45312</v>
      </c>
      <c r="B22" t="s">
        <v>15</v>
      </c>
      <c r="C22" t="s">
        <v>16</v>
      </c>
      <c r="D22" t="s">
        <v>61</v>
      </c>
      <c r="E22" t="s">
        <v>18</v>
      </c>
      <c r="F22" t="s">
        <v>38</v>
      </c>
      <c r="G22">
        <v>9000</v>
      </c>
      <c r="H22">
        <v>1700</v>
      </c>
      <c r="I22">
        <v>2024</v>
      </c>
      <c r="J22" t="s">
        <v>5</v>
      </c>
      <c r="K22" s="5">
        <v>0.18888888888888888</v>
      </c>
    </row>
    <row r="23" spans="1:11" x14ac:dyDescent="0.3">
      <c r="A23" s="3">
        <v>45313</v>
      </c>
      <c r="B23" t="s">
        <v>15</v>
      </c>
      <c r="C23" t="s">
        <v>21</v>
      </c>
      <c r="D23" t="s">
        <v>62</v>
      </c>
      <c r="E23" t="s">
        <v>23</v>
      </c>
      <c r="F23" t="s">
        <v>24</v>
      </c>
      <c r="G23">
        <v>14000</v>
      </c>
      <c r="H23">
        <v>2100</v>
      </c>
      <c r="I23">
        <v>2024</v>
      </c>
      <c r="J23" t="s">
        <v>5</v>
      </c>
      <c r="K23" s="5">
        <v>0.15</v>
      </c>
    </row>
    <row r="24" spans="1:11" x14ac:dyDescent="0.3">
      <c r="A24" s="3">
        <v>45314</v>
      </c>
      <c r="B24" t="s">
        <v>25</v>
      </c>
      <c r="C24" t="s">
        <v>63</v>
      </c>
      <c r="D24" t="s">
        <v>64</v>
      </c>
      <c r="E24" t="s">
        <v>18</v>
      </c>
      <c r="F24" t="s">
        <v>28</v>
      </c>
      <c r="G24">
        <v>54000</v>
      </c>
      <c r="H24">
        <v>7900</v>
      </c>
      <c r="I24">
        <v>2024</v>
      </c>
      <c r="J24" t="s">
        <v>5</v>
      </c>
      <c r="K24" s="5">
        <v>0.14629629629629629</v>
      </c>
    </row>
    <row r="25" spans="1:11" x14ac:dyDescent="0.3">
      <c r="A25" s="3">
        <v>45315</v>
      </c>
      <c r="B25" t="s">
        <v>29</v>
      </c>
      <c r="C25" t="s">
        <v>65</v>
      </c>
      <c r="D25" t="s">
        <v>66</v>
      </c>
      <c r="E25" t="s">
        <v>23</v>
      </c>
      <c r="F25" t="s">
        <v>32</v>
      </c>
      <c r="G25">
        <v>19000</v>
      </c>
      <c r="H25">
        <v>2800</v>
      </c>
      <c r="I25">
        <v>2024</v>
      </c>
      <c r="J25" t="s">
        <v>5</v>
      </c>
      <c r="K25" s="5">
        <v>0.14736842105263157</v>
      </c>
    </row>
    <row r="26" spans="1:11" x14ac:dyDescent="0.3">
      <c r="A26" s="3">
        <v>45316</v>
      </c>
      <c r="B26" t="s">
        <v>33</v>
      </c>
      <c r="C26" t="s">
        <v>67</v>
      </c>
      <c r="D26" t="s">
        <v>68</v>
      </c>
      <c r="E26" t="s">
        <v>18</v>
      </c>
      <c r="F26" t="s">
        <v>36</v>
      </c>
      <c r="G26">
        <v>36000</v>
      </c>
      <c r="H26">
        <v>5400</v>
      </c>
      <c r="I26">
        <v>2024</v>
      </c>
      <c r="J26" t="s">
        <v>5</v>
      </c>
      <c r="K26" s="5">
        <v>0.15</v>
      </c>
    </row>
    <row r="27" spans="1:11" x14ac:dyDescent="0.3">
      <c r="A27" s="3">
        <v>45317</v>
      </c>
      <c r="B27" t="s">
        <v>15</v>
      </c>
      <c r="C27" t="s">
        <v>16</v>
      </c>
      <c r="D27" t="s">
        <v>69</v>
      </c>
      <c r="E27" t="s">
        <v>18</v>
      </c>
      <c r="F27" t="s">
        <v>19</v>
      </c>
      <c r="G27">
        <v>29000</v>
      </c>
      <c r="H27">
        <v>4600</v>
      </c>
      <c r="I27">
        <v>2024</v>
      </c>
      <c r="J27" t="s">
        <v>5</v>
      </c>
      <c r="K27" s="5">
        <v>0.15862068965517243</v>
      </c>
    </row>
    <row r="28" spans="1:11" x14ac:dyDescent="0.3">
      <c r="A28" s="3">
        <v>45318</v>
      </c>
      <c r="B28" t="s">
        <v>15</v>
      </c>
      <c r="C28" t="s">
        <v>21</v>
      </c>
      <c r="D28" t="s">
        <v>70</v>
      </c>
      <c r="E28" t="s">
        <v>23</v>
      </c>
      <c r="F28" t="s">
        <v>44</v>
      </c>
      <c r="G28">
        <v>31000</v>
      </c>
      <c r="H28">
        <v>4400</v>
      </c>
      <c r="I28">
        <v>2024</v>
      </c>
      <c r="J28" t="s">
        <v>5</v>
      </c>
      <c r="K28" s="5">
        <v>0.14193548387096774</v>
      </c>
    </row>
    <row r="29" spans="1:11" x14ac:dyDescent="0.3">
      <c r="A29" s="3">
        <v>45319</v>
      </c>
      <c r="B29" t="s">
        <v>25</v>
      </c>
      <c r="C29" t="s">
        <v>71</v>
      </c>
      <c r="D29" t="s">
        <v>72</v>
      </c>
      <c r="E29" t="s">
        <v>18</v>
      </c>
      <c r="F29" t="s">
        <v>28</v>
      </c>
      <c r="G29">
        <v>53000</v>
      </c>
      <c r="H29">
        <v>7800</v>
      </c>
      <c r="I29">
        <v>2024</v>
      </c>
      <c r="J29" t="s">
        <v>5</v>
      </c>
      <c r="K29" s="5">
        <v>0.14716981132075471</v>
      </c>
    </row>
    <row r="30" spans="1:11" x14ac:dyDescent="0.3">
      <c r="A30" s="3">
        <v>45320</v>
      </c>
      <c r="B30" t="s">
        <v>29</v>
      </c>
      <c r="C30" t="s">
        <v>73</v>
      </c>
      <c r="D30" t="s">
        <v>74</v>
      </c>
      <c r="E30" t="s">
        <v>23</v>
      </c>
      <c r="F30" t="s">
        <v>24</v>
      </c>
      <c r="G30">
        <v>15500</v>
      </c>
      <c r="H30">
        <v>2300</v>
      </c>
      <c r="I30">
        <v>2024</v>
      </c>
      <c r="J30" t="s">
        <v>5</v>
      </c>
      <c r="K30" s="5">
        <v>0.14838709677419354</v>
      </c>
    </row>
    <row r="31" spans="1:11" x14ac:dyDescent="0.3">
      <c r="A31" s="3">
        <v>45321</v>
      </c>
      <c r="B31" t="s">
        <v>33</v>
      </c>
      <c r="C31" t="s">
        <v>75</v>
      </c>
      <c r="D31" t="s">
        <v>76</v>
      </c>
      <c r="E31" t="s">
        <v>18</v>
      </c>
      <c r="F31" t="s">
        <v>19</v>
      </c>
      <c r="G31">
        <v>24000</v>
      </c>
      <c r="H31">
        <v>3800</v>
      </c>
      <c r="I31">
        <v>2024</v>
      </c>
      <c r="J31" t="s">
        <v>5</v>
      </c>
      <c r="K31" s="5">
        <v>0.15833333333333333</v>
      </c>
    </row>
    <row r="32" spans="1:11" x14ac:dyDescent="0.3">
      <c r="A32" s="3">
        <v>45322</v>
      </c>
      <c r="B32" t="s">
        <v>15</v>
      </c>
      <c r="C32" t="s">
        <v>16</v>
      </c>
      <c r="D32" t="s">
        <v>77</v>
      </c>
      <c r="E32" t="s">
        <v>18</v>
      </c>
      <c r="F32" t="s">
        <v>36</v>
      </c>
      <c r="G32">
        <v>42000</v>
      </c>
      <c r="H32">
        <v>6300</v>
      </c>
      <c r="I32">
        <v>2024</v>
      </c>
      <c r="J32" t="s">
        <v>5</v>
      </c>
      <c r="K32" s="5">
        <v>0.15</v>
      </c>
    </row>
    <row r="33" spans="1:11" x14ac:dyDescent="0.3">
      <c r="A33" s="3">
        <v>45323</v>
      </c>
      <c r="B33" t="s">
        <v>15</v>
      </c>
      <c r="C33" t="s">
        <v>21</v>
      </c>
      <c r="D33" t="s">
        <v>22</v>
      </c>
      <c r="E33" t="s">
        <v>23</v>
      </c>
      <c r="F33" t="s">
        <v>40</v>
      </c>
      <c r="G33">
        <v>62000</v>
      </c>
      <c r="H33">
        <v>9200</v>
      </c>
      <c r="I33">
        <v>2024</v>
      </c>
      <c r="J33" t="s">
        <v>6</v>
      </c>
      <c r="K33" s="5">
        <v>0.14838709677419354</v>
      </c>
    </row>
    <row r="34" spans="1:11" x14ac:dyDescent="0.3">
      <c r="A34" s="3">
        <v>45324</v>
      </c>
      <c r="B34" t="s">
        <v>25</v>
      </c>
      <c r="C34" t="s">
        <v>26</v>
      </c>
      <c r="D34" t="s">
        <v>27</v>
      </c>
      <c r="E34" t="s">
        <v>18</v>
      </c>
      <c r="F34" t="s">
        <v>28</v>
      </c>
      <c r="G34">
        <v>56000</v>
      </c>
      <c r="H34">
        <v>8100</v>
      </c>
      <c r="I34">
        <v>2024</v>
      </c>
      <c r="J34" t="s">
        <v>6</v>
      </c>
      <c r="K34" s="5">
        <v>0.14464285714285716</v>
      </c>
    </row>
    <row r="35" spans="1:11" x14ac:dyDescent="0.3">
      <c r="A35" s="3">
        <v>45325</v>
      </c>
      <c r="B35" t="s">
        <v>29</v>
      </c>
      <c r="C35" t="s">
        <v>30</v>
      </c>
      <c r="D35" t="s">
        <v>78</v>
      </c>
      <c r="E35" t="s">
        <v>23</v>
      </c>
      <c r="F35" t="s">
        <v>32</v>
      </c>
      <c r="G35">
        <v>21000</v>
      </c>
      <c r="H35">
        <v>3100</v>
      </c>
      <c r="I35">
        <v>2024</v>
      </c>
      <c r="J35" t="s">
        <v>6</v>
      </c>
      <c r="K35" s="5">
        <v>0.14761904761904762</v>
      </c>
    </row>
    <row r="36" spans="1:11" x14ac:dyDescent="0.3">
      <c r="A36" s="3">
        <v>45326</v>
      </c>
      <c r="B36" t="s">
        <v>33</v>
      </c>
      <c r="C36" t="s">
        <v>34</v>
      </c>
      <c r="D36" t="s">
        <v>79</v>
      </c>
      <c r="E36" t="s">
        <v>18</v>
      </c>
      <c r="F36" t="s">
        <v>19</v>
      </c>
      <c r="G36">
        <v>27000</v>
      </c>
      <c r="H36">
        <v>4100</v>
      </c>
      <c r="I36">
        <v>2024</v>
      </c>
      <c r="J36" t="s">
        <v>6</v>
      </c>
      <c r="K36" s="5">
        <v>0.15185185185185185</v>
      </c>
    </row>
    <row r="37" spans="1:11" x14ac:dyDescent="0.3">
      <c r="A37" s="3">
        <v>45327</v>
      </c>
      <c r="B37" t="s">
        <v>15</v>
      </c>
      <c r="C37" t="s">
        <v>16</v>
      </c>
      <c r="D37" t="s">
        <v>17</v>
      </c>
      <c r="E37" t="s">
        <v>18</v>
      </c>
      <c r="F37" t="s">
        <v>19</v>
      </c>
      <c r="G37">
        <v>31000</v>
      </c>
      <c r="H37">
        <v>5200</v>
      </c>
      <c r="I37">
        <v>2024</v>
      </c>
      <c r="J37" t="s">
        <v>6</v>
      </c>
      <c r="K37" s="5">
        <v>0.16774193548387098</v>
      </c>
    </row>
    <row r="38" spans="1:11" x14ac:dyDescent="0.3">
      <c r="A38" s="3">
        <v>45328</v>
      </c>
      <c r="B38" t="s">
        <v>15</v>
      </c>
      <c r="C38" t="s">
        <v>21</v>
      </c>
      <c r="D38" t="s">
        <v>80</v>
      </c>
      <c r="E38" t="s">
        <v>23</v>
      </c>
      <c r="F38" t="s">
        <v>24</v>
      </c>
      <c r="G38">
        <v>14500</v>
      </c>
      <c r="H38">
        <v>2000</v>
      </c>
      <c r="I38">
        <v>2024</v>
      </c>
      <c r="J38" t="s">
        <v>6</v>
      </c>
      <c r="K38" s="5">
        <v>0.13793103448275862</v>
      </c>
    </row>
    <row r="39" spans="1:11" x14ac:dyDescent="0.3">
      <c r="A39" s="3">
        <v>45329</v>
      </c>
      <c r="B39" t="s">
        <v>25</v>
      </c>
      <c r="C39" t="s">
        <v>47</v>
      </c>
      <c r="D39" t="s">
        <v>81</v>
      </c>
      <c r="E39" t="s">
        <v>18</v>
      </c>
      <c r="F39" t="s">
        <v>28</v>
      </c>
      <c r="G39">
        <v>58000</v>
      </c>
      <c r="H39">
        <v>8400</v>
      </c>
      <c r="I39">
        <v>2024</v>
      </c>
      <c r="J39" t="s">
        <v>6</v>
      </c>
      <c r="K39" s="5">
        <v>0.14482758620689656</v>
      </c>
    </row>
    <row r="40" spans="1:11" x14ac:dyDescent="0.3">
      <c r="A40" s="3">
        <v>45330</v>
      </c>
      <c r="B40" t="s">
        <v>29</v>
      </c>
      <c r="C40" t="s">
        <v>49</v>
      </c>
      <c r="D40" t="s">
        <v>82</v>
      </c>
      <c r="E40" t="s">
        <v>23</v>
      </c>
      <c r="F40" t="s">
        <v>44</v>
      </c>
      <c r="G40">
        <v>33000</v>
      </c>
      <c r="H40">
        <v>4700</v>
      </c>
      <c r="I40">
        <v>2024</v>
      </c>
      <c r="J40" t="s">
        <v>6</v>
      </c>
      <c r="K40" s="5">
        <v>0.14242424242424243</v>
      </c>
    </row>
    <row r="41" spans="1:11" x14ac:dyDescent="0.3">
      <c r="A41" s="3">
        <v>45331</v>
      </c>
      <c r="B41" t="s">
        <v>33</v>
      </c>
      <c r="C41" t="s">
        <v>42</v>
      </c>
      <c r="D41" t="s">
        <v>83</v>
      </c>
      <c r="E41" t="s">
        <v>18</v>
      </c>
      <c r="F41" t="s">
        <v>36</v>
      </c>
      <c r="G41">
        <v>39000</v>
      </c>
      <c r="H41">
        <v>5800</v>
      </c>
      <c r="I41">
        <v>2024</v>
      </c>
      <c r="J41" t="s">
        <v>6</v>
      </c>
      <c r="K41" s="5">
        <v>0.14871794871794872</v>
      </c>
    </row>
    <row r="42" spans="1:11" x14ac:dyDescent="0.3">
      <c r="A42" s="3">
        <v>45332</v>
      </c>
      <c r="B42" t="s">
        <v>15</v>
      </c>
      <c r="C42" t="s">
        <v>16</v>
      </c>
      <c r="D42" t="s">
        <v>20</v>
      </c>
      <c r="E42" t="s">
        <v>18</v>
      </c>
      <c r="F42" t="s">
        <v>19</v>
      </c>
      <c r="G42">
        <v>29500</v>
      </c>
      <c r="H42">
        <v>4800</v>
      </c>
      <c r="I42">
        <v>2024</v>
      </c>
      <c r="J42" t="s">
        <v>6</v>
      </c>
      <c r="K42" s="5">
        <v>0.16271186440677965</v>
      </c>
    </row>
    <row r="43" spans="1:11" x14ac:dyDescent="0.3">
      <c r="A43" s="3">
        <v>45333</v>
      </c>
      <c r="B43" t="s">
        <v>15</v>
      </c>
      <c r="C43" t="s">
        <v>21</v>
      </c>
      <c r="D43" t="s">
        <v>84</v>
      </c>
      <c r="E43" t="s">
        <v>23</v>
      </c>
      <c r="F43" t="s">
        <v>32</v>
      </c>
      <c r="G43">
        <v>17500</v>
      </c>
      <c r="H43">
        <v>2500</v>
      </c>
      <c r="I43">
        <v>2024</v>
      </c>
      <c r="J43" t="s">
        <v>6</v>
      </c>
      <c r="K43" s="5">
        <v>0.14285714285714285</v>
      </c>
    </row>
    <row r="44" spans="1:11" x14ac:dyDescent="0.3">
      <c r="A44" s="3">
        <v>45334</v>
      </c>
      <c r="B44" t="s">
        <v>25</v>
      </c>
      <c r="C44" t="s">
        <v>3</v>
      </c>
      <c r="D44" t="s">
        <v>85</v>
      </c>
      <c r="E44" t="s">
        <v>18</v>
      </c>
      <c r="F44" t="s">
        <v>28</v>
      </c>
      <c r="G44">
        <v>57000</v>
      </c>
      <c r="H44">
        <v>8300</v>
      </c>
      <c r="I44">
        <v>2024</v>
      </c>
      <c r="J44" t="s">
        <v>6</v>
      </c>
      <c r="K44" s="5">
        <v>0.14561403508771931</v>
      </c>
    </row>
    <row r="45" spans="1:11" x14ac:dyDescent="0.3">
      <c r="A45" s="3">
        <v>45335</v>
      </c>
      <c r="B45" t="s">
        <v>29</v>
      </c>
      <c r="C45" t="s">
        <v>30</v>
      </c>
      <c r="D45" t="s">
        <v>86</v>
      </c>
      <c r="E45" t="s">
        <v>23</v>
      </c>
      <c r="F45" t="s">
        <v>40</v>
      </c>
      <c r="G45">
        <v>61000</v>
      </c>
      <c r="H45">
        <v>9100</v>
      </c>
      <c r="I45">
        <v>2024</v>
      </c>
      <c r="J45" t="s">
        <v>6</v>
      </c>
      <c r="K45" s="5">
        <v>0.14918032786885246</v>
      </c>
    </row>
    <row r="46" spans="1:11" x14ac:dyDescent="0.3">
      <c r="A46" s="3">
        <v>45336</v>
      </c>
      <c r="B46" t="s">
        <v>33</v>
      </c>
      <c r="C46" t="s">
        <v>67</v>
      </c>
      <c r="D46" t="s">
        <v>87</v>
      </c>
      <c r="E46" t="s">
        <v>18</v>
      </c>
      <c r="F46" t="s">
        <v>19</v>
      </c>
      <c r="G46">
        <v>25500</v>
      </c>
      <c r="H46">
        <v>4000</v>
      </c>
      <c r="I46">
        <v>2024</v>
      </c>
      <c r="J46" t="s">
        <v>6</v>
      </c>
      <c r="K46" s="5">
        <v>0.15686274509803921</v>
      </c>
    </row>
    <row r="47" spans="1:11" x14ac:dyDescent="0.3">
      <c r="A47" s="3">
        <v>45337</v>
      </c>
      <c r="B47" t="s">
        <v>15</v>
      </c>
      <c r="C47" t="s">
        <v>16</v>
      </c>
      <c r="D47" t="s">
        <v>88</v>
      </c>
      <c r="E47" t="s">
        <v>18</v>
      </c>
      <c r="F47" t="s">
        <v>36</v>
      </c>
      <c r="G47">
        <v>43000</v>
      </c>
      <c r="H47">
        <v>6500</v>
      </c>
      <c r="I47">
        <v>2024</v>
      </c>
      <c r="J47" t="s">
        <v>6</v>
      </c>
      <c r="K47" s="5">
        <v>0.15116279069767441</v>
      </c>
    </row>
    <row r="48" spans="1:11" x14ac:dyDescent="0.3">
      <c r="A48" s="3">
        <v>45338</v>
      </c>
      <c r="B48" t="s">
        <v>15</v>
      </c>
      <c r="C48" t="s">
        <v>21</v>
      </c>
      <c r="D48" t="s">
        <v>89</v>
      </c>
      <c r="E48" t="s">
        <v>23</v>
      </c>
      <c r="F48" t="s">
        <v>44</v>
      </c>
      <c r="G48">
        <v>34000</v>
      </c>
      <c r="H48">
        <v>4800</v>
      </c>
      <c r="I48">
        <v>2024</v>
      </c>
      <c r="J48" t="s">
        <v>6</v>
      </c>
      <c r="K48" s="5">
        <v>0.14117647058823529</v>
      </c>
    </row>
    <row r="49" spans="1:11" x14ac:dyDescent="0.3">
      <c r="A49" s="3">
        <v>45339</v>
      </c>
      <c r="B49" t="s">
        <v>25</v>
      </c>
      <c r="C49" t="s">
        <v>57</v>
      </c>
      <c r="D49" t="s">
        <v>90</v>
      </c>
      <c r="E49" t="s">
        <v>18</v>
      </c>
      <c r="F49" t="s">
        <v>28</v>
      </c>
      <c r="G49">
        <v>54500</v>
      </c>
      <c r="H49">
        <v>8000</v>
      </c>
      <c r="I49">
        <v>2024</v>
      </c>
      <c r="J49" t="s">
        <v>6</v>
      </c>
      <c r="K49" s="5">
        <v>0.14678899082568808</v>
      </c>
    </row>
    <row r="50" spans="1:11" x14ac:dyDescent="0.3">
      <c r="A50" s="3">
        <v>45340</v>
      </c>
      <c r="B50" t="s">
        <v>29</v>
      </c>
      <c r="C50" t="s">
        <v>65</v>
      </c>
      <c r="D50" t="s">
        <v>91</v>
      </c>
      <c r="E50" t="s">
        <v>23</v>
      </c>
      <c r="F50" t="s">
        <v>24</v>
      </c>
      <c r="G50">
        <v>16500</v>
      </c>
      <c r="H50">
        <v>2400</v>
      </c>
      <c r="I50">
        <v>2024</v>
      </c>
      <c r="J50" t="s">
        <v>6</v>
      </c>
      <c r="K50" s="5">
        <v>0.14545454545454545</v>
      </c>
    </row>
    <row r="51" spans="1:11" x14ac:dyDescent="0.3">
      <c r="A51" s="3">
        <v>45341</v>
      </c>
      <c r="B51" t="s">
        <v>33</v>
      </c>
      <c r="C51" t="s">
        <v>51</v>
      </c>
      <c r="D51" t="s">
        <v>92</v>
      </c>
      <c r="E51" t="s">
        <v>18</v>
      </c>
      <c r="F51" t="s">
        <v>19</v>
      </c>
      <c r="G51">
        <v>23500</v>
      </c>
      <c r="H51">
        <v>3700</v>
      </c>
      <c r="I51">
        <v>2024</v>
      </c>
      <c r="J51" t="s">
        <v>6</v>
      </c>
      <c r="K51" s="5">
        <v>0.1574468085106383</v>
      </c>
    </row>
    <row r="52" spans="1:11" x14ac:dyDescent="0.3">
      <c r="A52" s="3">
        <v>45342</v>
      </c>
      <c r="B52" t="s">
        <v>15</v>
      </c>
      <c r="C52" t="s">
        <v>16</v>
      </c>
      <c r="D52" t="s">
        <v>93</v>
      </c>
      <c r="E52" t="s">
        <v>18</v>
      </c>
      <c r="F52" t="s">
        <v>19</v>
      </c>
      <c r="G52">
        <v>26000</v>
      </c>
      <c r="H52">
        <v>4100</v>
      </c>
      <c r="I52">
        <v>2024</v>
      </c>
      <c r="J52" t="s">
        <v>6</v>
      </c>
      <c r="K52" s="5">
        <v>0.15769230769230769</v>
      </c>
    </row>
    <row r="53" spans="1:11" x14ac:dyDescent="0.3">
      <c r="A53" s="3">
        <v>45343</v>
      </c>
      <c r="B53" t="s">
        <v>15</v>
      </c>
      <c r="C53" t="s">
        <v>21</v>
      </c>
      <c r="D53" t="s">
        <v>94</v>
      </c>
      <c r="E53" t="s">
        <v>23</v>
      </c>
      <c r="F53" t="s">
        <v>32</v>
      </c>
      <c r="G53">
        <v>18500</v>
      </c>
      <c r="H53">
        <v>2700</v>
      </c>
      <c r="I53">
        <v>2024</v>
      </c>
      <c r="J53" t="s">
        <v>6</v>
      </c>
      <c r="K53" s="5">
        <v>0.14594594594594595</v>
      </c>
    </row>
    <row r="54" spans="1:11" x14ac:dyDescent="0.3">
      <c r="A54" s="3">
        <v>45344</v>
      </c>
      <c r="B54" t="s">
        <v>25</v>
      </c>
      <c r="C54" t="s">
        <v>55</v>
      </c>
      <c r="D54" t="s">
        <v>95</v>
      </c>
      <c r="E54" t="s">
        <v>18</v>
      </c>
      <c r="F54" t="s">
        <v>36</v>
      </c>
      <c r="G54">
        <v>40500</v>
      </c>
      <c r="H54">
        <v>6000</v>
      </c>
      <c r="I54">
        <v>2024</v>
      </c>
      <c r="J54" t="s">
        <v>6</v>
      </c>
      <c r="K54" s="5">
        <v>0.14814814814814814</v>
      </c>
    </row>
    <row r="55" spans="1:11" x14ac:dyDescent="0.3">
      <c r="A55" s="3">
        <v>45345</v>
      </c>
      <c r="B55" t="s">
        <v>29</v>
      </c>
      <c r="C55" t="s">
        <v>57</v>
      </c>
      <c r="D55" t="s">
        <v>96</v>
      </c>
      <c r="E55" t="s">
        <v>23</v>
      </c>
      <c r="F55" t="s">
        <v>44</v>
      </c>
      <c r="G55">
        <v>32000</v>
      </c>
      <c r="H55">
        <v>4600</v>
      </c>
      <c r="I55">
        <v>2024</v>
      </c>
      <c r="J55" t="s">
        <v>6</v>
      </c>
      <c r="K55" s="5">
        <v>0.14374999999999999</v>
      </c>
    </row>
    <row r="56" spans="1:11" x14ac:dyDescent="0.3">
      <c r="A56" s="3">
        <v>45346</v>
      </c>
      <c r="B56" t="s">
        <v>33</v>
      </c>
      <c r="C56" t="s">
        <v>59</v>
      </c>
      <c r="D56" t="s">
        <v>97</v>
      </c>
      <c r="E56" t="s">
        <v>18</v>
      </c>
      <c r="F56" t="s">
        <v>28</v>
      </c>
      <c r="G56">
        <v>51500</v>
      </c>
      <c r="H56">
        <v>7500</v>
      </c>
      <c r="I56">
        <v>2024</v>
      </c>
      <c r="J56" t="s">
        <v>6</v>
      </c>
      <c r="K56" s="5">
        <v>0.14563106796116504</v>
      </c>
    </row>
    <row r="57" spans="1:11" x14ac:dyDescent="0.3">
      <c r="A57" s="3">
        <v>45347</v>
      </c>
      <c r="B57" t="s">
        <v>15</v>
      </c>
      <c r="C57" t="s">
        <v>16</v>
      </c>
      <c r="D57" t="s">
        <v>98</v>
      </c>
      <c r="E57" t="s">
        <v>18</v>
      </c>
      <c r="F57" t="s">
        <v>19</v>
      </c>
      <c r="G57">
        <v>28500</v>
      </c>
      <c r="H57">
        <v>4500</v>
      </c>
      <c r="I57">
        <v>2024</v>
      </c>
      <c r="J57" t="s">
        <v>6</v>
      </c>
      <c r="K57" s="5">
        <v>0.15789473684210525</v>
      </c>
    </row>
    <row r="58" spans="1:11" x14ac:dyDescent="0.3">
      <c r="A58" s="3">
        <v>45348</v>
      </c>
      <c r="B58" t="s">
        <v>15</v>
      </c>
      <c r="C58" t="s">
        <v>21</v>
      </c>
      <c r="D58" t="s">
        <v>99</v>
      </c>
      <c r="E58" t="s">
        <v>23</v>
      </c>
      <c r="F58" t="s">
        <v>24</v>
      </c>
      <c r="G58">
        <v>15000</v>
      </c>
      <c r="H58">
        <v>2200</v>
      </c>
      <c r="I58">
        <v>2024</v>
      </c>
      <c r="J58" t="s">
        <v>6</v>
      </c>
      <c r="K58" s="5">
        <v>0.14666666666666667</v>
      </c>
    </row>
    <row r="59" spans="1:11" x14ac:dyDescent="0.3">
      <c r="A59" s="3">
        <v>45349</v>
      </c>
      <c r="B59" t="s">
        <v>25</v>
      </c>
      <c r="C59" t="s">
        <v>63</v>
      </c>
      <c r="D59" t="s">
        <v>100</v>
      </c>
      <c r="E59" t="s">
        <v>18</v>
      </c>
      <c r="F59" t="s">
        <v>28</v>
      </c>
      <c r="G59">
        <v>52500</v>
      </c>
      <c r="H59">
        <v>7700</v>
      </c>
      <c r="I59">
        <v>2024</v>
      </c>
      <c r="J59" t="s">
        <v>6</v>
      </c>
      <c r="K59" s="5">
        <v>0.14666666666666667</v>
      </c>
    </row>
    <row r="60" spans="1:11" x14ac:dyDescent="0.3">
      <c r="A60" s="3">
        <v>45350</v>
      </c>
      <c r="B60" t="s">
        <v>29</v>
      </c>
      <c r="C60" t="s">
        <v>73</v>
      </c>
      <c r="D60" t="s">
        <v>101</v>
      </c>
      <c r="E60" t="s">
        <v>23</v>
      </c>
      <c r="F60" t="s">
        <v>32</v>
      </c>
      <c r="G60">
        <v>19500</v>
      </c>
      <c r="H60">
        <v>2900</v>
      </c>
      <c r="I60">
        <v>2024</v>
      </c>
      <c r="J60" t="s">
        <v>6</v>
      </c>
      <c r="K60" s="5">
        <v>0.14871794871794872</v>
      </c>
    </row>
    <row r="61" spans="1:11" x14ac:dyDescent="0.3">
      <c r="A61" s="3">
        <v>45351</v>
      </c>
      <c r="B61" t="s">
        <v>33</v>
      </c>
      <c r="C61" t="s">
        <v>75</v>
      </c>
      <c r="D61" t="s">
        <v>96</v>
      </c>
      <c r="E61" t="s">
        <v>18</v>
      </c>
      <c r="F61" t="s">
        <v>19</v>
      </c>
      <c r="G61">
        <v>24500</v>
      </c>
      <c r="H61">
        <v>3900</v>
      </c>
      <c r="I61">
        <v>2024</v>
      </c>
      <c r="J61" t="s">
        <v>6</v>
      </c>
      <c r="K61" s="5">
        <v>0.15918367346938775</v>
      </c>
    </row>
    <row r="62" spans="1:11" x14ac:dyDescent="0.3">
      <c r="A62" s="3">
        <v>45361</v>
      </c>
      <c r="B62" t="s">
        <v>33</v>
      </c>
      <c r="C62" t="s">
        <v>42</v>
      </c>
      <c r="D62" t="s">
        <v>43</v>
      </c>
      <c r="E62" t="s">
        <v>23</v>
      </c>
      <c r="F62" t="s">
        <v>44</v>
      </c>
      <c r="G62">
        <v>30000</v>
      </c>
      <c r="H62">
        <v>4000</v>
      </c>
      <c r="I62">
        <v>2024</v>
      </c>
      <c r="J62" t="s">
        <v>7</v>
      </c>
      <c r="K62" s="5">
        <v>0.13333333333333333</v>
      </c>
    </row>
    <row r="63" spans="1:11" x14ac:dyDescent="0.3">
      <c r="A63" s="3">
        <v>45362</v>
      </c>
      <c r="B63" t="s">
        <v>15</v>
      </c>
      <c r="C63" t="s">
        <v>16</v>
      </c>
      <c r="D63" t="s">
        <v>45</v>
      </c>
      <c r="E63" t="s">
        <v>18</v>
      </c>
      <c r="F63" t="s">
        <v>19</v>
      </c>
      <c r="G63">
        <v>25000</v>
      </c>
      <c r="H63">
        <v>4200</v>
      </c>
      <c r="I63">
        <v>2024</v>
      </c>
      <c r="J63" t="s">
        <v>7</v>
      </c>
      <c r="K63" s="5">
        <v>0.16800000000000001</v>
      </c>
    </row>
    <row r="64" spans="1:11" x14ac:dyDescent="0.3">
      <c r="A64" s="3">
        <v>45363</v>
      </c>
      <c r="B64" t="s">
        <v>15</v>
      </c>
      <c r="C64" t="s">
        <v>16</v>
      </c>
      <c r="D64" t="s">
        <v>46</v>
      </c>
      <c r="E64" t="s">
        <v>23</v>
      </c>
      <c r="F64" t="s">
        <v>32</v>
      </c>
      <c r="G64">
        <v>18000</v>
      </c>
      <c r="H64">
        <v>2600</v>
      </c>
      <c r="I64">
        <v>2024</v>
      </c>
      <c r="J64" t="s">
        <v>7</v>
      </c>
      <c r="K64" s="5">
        <v>0.14444444444444443</v>
      </c>
    </row>
    <row r="65" spans="1:11" x14ac:dyDescent="0.3">
      <c r="A65" s="3">
        <v>45364</v>
      </c>
      <c r="B65" t="s">
        <v>25</v>
      </c>
      <c r="C65" t="s">
        <v>47</v>
      </c>
      <c r="D65" t="s">
        <v>48</v>
      </c>
      <c r="E65" t="s">
        <v>18</v>
      </c>
      <c r="F65" t="s">
        <v>36</v>
      </c>
      <c r="G65">
        <v>38000</v>
      </c>
      <c r="H65">
        <v>5600</v>
      </c>
      <c r="I65">
        <v>2024</v>
      </c>
      <c r="J65" t="s">
        <v>7</v>
      </c>
      <c r="K65" s="5">
        <v>0.14736842105263157</v>
      </c>
    </row>
    <row r="66" spans="1:11" x14ac:dyDescent="0.3">
      <c r="A66" s="3">
        <v>45365</v>
      </c>
      <c r="B66" t="s">
        <v>29</v>
      </c>
      <c r="C66" t="s">
        <v>49</v>
      </c>
      <c r="D66" t="s">
        <v>50</v>
      </c>
      <c r="E66" t="s">
        <v>23</v>
      </c>
      <c r="F66" t="s">
        <v>24</v>
      </c>
      <c r="G66">
        <v>16000</v>
      </c>
      <c r="H66">
        <v>2200</v>
      </c>
      <c r="I66">
        <v>2024</v>
      </c>
      <c r="J66" t="s">
        <v>7</v>
      </c>
      <c r="K66" s="5">
        <v>0.13750000000000001</v>
      </c>
    </row>
    <row r="67" spans="1:11" x14ac:dyDescent="0.3">
      <c r="A67" s="3">
        <v>45366</v>
      </c>
      <c r="B67" t="s">
        <v>33</v>
      </c>
      <c r="C67" t="s">
        <v>51</v>
      </c>
      <c r="D67" t="s">
        <v>52</v>
      </c>
      <c r="E67" t="s">
        <v>18</v>
      </c>
      <c r="F67" t="s">
        <v>28</v>
      </c>
      <c r="G67">
        <v>50000</v>
      </c>
      <c r="H67">
        <v>7200</v>
      </c>
      <c r="I67">
        <v>2024</v>
      </c>
      <c r="J67" t="s">
        <v>7</v>
      </c>
      <c r="K67" s="5">
        <v>0.14399999999999999</v>
      </c>
    </row>
    <row r="68" spans="1:11" x14ac:dyDescent="0.3">
      <c r="A68" s="3">
        <v>45367</v>
      </c>
      <c r="B68" t="s">
        <v>15</v>
      </c>
      <c r="C68" t="s">
        <v>21</v>
      </c>
      <c r="D68" t="s">
        <v>53</v>
      </c>
      <c r="E68" t="s">
        <v>18</v>
      </c>
      <c r="F68" t="s">
        <v>19</v>
      </c>
      <c r="G68">
        <v>27000</v>
      </c>
      <c r="H68">
        <v>4300</v>
      </c>
      <c r="I68">
        <v>2024</v>
      </c>
      <c r="J68" t="s">
        <v>7</v>
      </c>
      <c r="K68" s="5">
        <v>0.15925925925925927</v>
      </c>
    </row>
    <row r="69" spans="1:11" x14ac:dyDescent="0.3">
      <c r="A69" s="3">
        <v>45368</v>
      </c>
      <c r="B69" t="s">
        <v>15</v>
      </c>
      <c r="C69" t="s">
        <v>16</v>
      </c>
      <c r="D69" t="s">
        <v>54</v>
      </c>
      <c r="E69" t="s">
        <v>23</v>
      </c>
      <c r="F69" t="s">
        <v>44</v>
      </c>
      <c r="G69">
        <v>32000</v>
      </c>
      <c r="H69">
        <v>4500</v>
      </c>
      <c r="I69">
        <v>2024</v>
      </c>
      <c r="J69" t="s">
        <v>7</v>
      </c>
      <c r="K69" s="5">
        <v>0.140625</v>
      </c>
    </row>
    <row r="70" spans="1:11" x14ac:dyDescent="0.3">
      <c r="A70" s="3">
        <v>45369</v>
      </c>
      <c r="B70" t="s">
        <v>25</v>
      </c>
      <c r="C70" t="s">
        <v>55</v>
      </c>
      <c r="D70" t="s">
        <v>56</v>
      </c>
      <c r="E70" t="s">
        <v>18</v>
      </c>
      <c r="F70" t="s">
        <v>36</v>
      </c>
      <c r="G70">
        <v>41000</v>
      </c>
      <c r="H70">
        <v>6100</v>
      </c>
      <c r="I70">
        <v>2024</v>
      </c>
      <c r="J70" t="s">
        <v>7</v>
      </c>
      <c r="K70" s="5">
        <v>0.14878048780487804</v>
      </c>
    </row>
    <row r="71" spans="1:11" x14ac:dyDescent="0.3">
      <c r="A71" s="3">
        <v>45370</v>
      </c>
      <c r="B71" t="s">
        <v>29</v>
      </c>
      <c r="C71" t="s">
        <v>57</v>
      </c>
      <c r="D71" t="s">
        <v>58</v>
      </c>
      <c r="E71" t="s">
        <v>23</v>
      </c>
      <c r="F71" t="s">
        <v>40</v>
      </c>
      <c r="G71">
        <v>58000</v>
      </c>
      <c r="H71">
        <v>8500</v>
      </c>
      <c r="I71">
        <v>2024</v>
      </c>
      <c r="J71" t="s">
        <v>7</v>
      </c>
      <c r="K71" s="5">
        <v>0.14655172413793102</v>
      </c>
    </row>
    <row r="72" spans="1:11" x14ac:dyDescent="0.3">
      <c r="A72" s="3">
        <v>45371</v>
      </c>
      <c r="B72" t="s">
        <v>33</v>
      </c>
      <c r="C72" t="s">
        <v>59</v>
      </c>
      <c r="D72" t="s">
        <v>60</v>
      </c>
      <c r="E72" t="s">
        <v>18</v>
      </c>
      <c r="F72" t="s">
        <v>19</v>
      </c>
      <c r="G72">
        <v>26000</v>
      </c>
      <c r="H72">
        <v>3900</v>
      </c>
      <c r="I72">
        <v>2024</v>
      </c>
      <c r="J72" t="s">
        <v>7</v>
      </c>
      <c r="K72" s="5">
        <v>0.15</v>
      </c>
    </row>
    <row r="73" spans="1:11" x14ac:dyDescent="0.3">
      <c r="A73" s="3">
        <v>45372</v>
      </c>
      <c r="B73" t="s">
        <v>15</v>
      </c>
      <c r="C73" t="s">
        <v>16</v>
      </c>
      <c r="D73" t="s">
        <v>61</v>
      </c>
      <c r="E73" t="s">
        <v>18</v>
      </c>
      <c r="F73" t="s">
        <v>38</v>
      </c>
      <c r="G73">
        <v>9000</v>
      </c>
      <c r="H73">
        <v>1700</v>
      </c>
      <c r="I73">
        <v>2024</v>
      </c>
      <c r="J73" t="s">
        <v>7</v>
      </c>
      <c r="K73" s="5">
        <v>0.18888888888888888</v>
      </c>
    </row>
    <row r="74" spans="1:11" x14ac:dyDescent="0.3">
      <c r="A74" s="3">
        <v>45404</v>
      </c>
      <c r="B74" t="s">
        <v>15</v>
      </c>
      <c r="C74" t="s">
        <v>21</v>
      </c>
      <c r="D74" t="s">
        <v>62</v>
      </c>
      <c r="E74" t="s">
        <v>23</v>
      </c>
      <c r="F74" t="s">
        <v>24</v>
      </c>
      <c r="G74">
        <v>14000</v>
      </c>
      <c r="H74">
        <v>2100</v>
      </c>
      <c r="I74">
        <v>2024</v>
      </c>
      <c r="J74" t="s">
        <v>106</v>
      </c>
      <c r="K74" s="5">
        <v>0.15</v>
      </c>
    </row>
    <row r="75" spans="1:11" x14ac:dyDescent="0.3">
      <c r="A75" s="3">
        <v>45405</v>
      </c>
      <c r="B75" t="s">
        <v>25</v>
      </c>
      <c r="C75" t="s">
        <v>63</v>
      </c>
      <c r="D75" t="s">
        <v>64</v>
      </c>
      <c r="E75" t="s">
        <v>18</v>
      </c>
      <c r="F75" t="s">
        <v>28</v>
      </c>
      <c r="G75">
        <v>54000</v>
      </c>
      <c r="H75">
        <v>7900</v>
      </c>
      <c r="I75">
        <v>2024</v>
      </c>
      <c r="J75" t="s">
        <v>106</v>
      </c>
      <c r="K75" s="5">
        <v>0.14629629629629629</v>
      </c>
    </row>
    <row r="76" spans="1:11" x14ac:dyDescent="0.3">
      <c r="A76" s="3">
        <v>45406</v>
      </c>
      <c r="B76" t="s">
        <v>29</v>
      </c>
      <c r="C76" t="s">
        <v>65</v>
      </c>
      <c r="D76" t="s">
        <v>66</v>
      </c>
      <c r="E76" t="s">
        <v>23</v>
      </c>
      <c r="F76" t="s">
        <v>32</v>
      </c>
      <c r="G76">
        <v>19000</v>
      </c>
      <c r="H76">
        <v>2800</v>
      </c>
      <c r="I76">
        <v>2024</v>
      </c>
      <c r="J76" t="s">
        <v>106</v>
      </c>
      <c r="K76" s="5">
        <v>0.14736842105263157</v>
      </c>
    </row>
    <row r="77" spans="1:11" x14ac:dyDescent="0.3">
      <c r="A77" s="3">
        <v>45407</v>
      </c>
      <c r="B77" t="s">
        <v>33</v>
      </c>
      <c r="C77" t="s">
        <v>67</v>
      </c>
      <c r="D77" t="s">
        <v>68</v>
      </c>
      <c r="E77" t="s">
        <v>18</v>
      </c>
      <c r="F77" t="s">
        <v>36</v>
      </c>
      <c r="G77">
        <v>36000</v>
      </c>
      <c r="H77">
        <v>5400</v>
      </c>
      <c r="I77">
        <v>2024</v>
      </c>
      <c r="J77" t="s">
        <v>106</v>
      </c>
      <c r="K77" s="5">
        <v>0.15</v>
      </c>
    </row>
    <row r="78" spans="1:11" x14ac:dyDescent="0.3">
      <c r="A78" s="3">
        <v>45408</v>
      </c>
      <c r="B78" t="s">
        <v>15</v>
      </c>
      <c r="C78" t="s">
        <v>16</v>
      </c>
      <c r="D78" t="s">
        <v>69</v>
      </c>
      <c r="E78" t="s">
        <v>18</v>
      </c>
      <c r="F78" t="s">
        <v>19</v>
      </c>
      <c r="G78">
        <v>29000</v>
      </c>
      <c r="H78">
        <v>4600</v>
      </c>
      <c r="I78">
        <v>2024</v>
      </c>
      <c r="J78" t="s">
        <v>106</v>
      </c>
      <c r="K78" s="5">
        <v>0.15862068965517243</v>
      </c>
    </row>
    <row r="79" spans="1:11" x14ac:dyDescent="0.3">
      <c r="A79" s="3">
        <v>45409</v>
      </c>
      <c r="B79" t="s">
        <v>15</v>
      </c>
      <c r="C79" t="s">
        <v>21</v>
      </c>
      <c r="D79" t="s">
        <v>70</v>
      </c>
      <c r="E79" t="s">
        <v>23</v>
      </c>
      <c r="F79" t="s">
        <v>44</v>
      </c>
      <c r="G79">
        <v>31000</v>
      </c>
      <c r="H79">
        <v>4400</v>
      </c>
      <c r="I79">
        <v>2024</v>
      </c>
      <c r="J79" t="s">
        <v>106</v>
      </c>
      <c r="K79" s="5">
        <v>0.14193548387096774</v>
      </c>
    </row>
    <row r="80" spans="1:11" x14ac:dyDescent="0.3">
      <c r="A80" s="3">
        <v>45410</v>
      </c>
      <c r="B80" t="s">
        <v>25</v>
      </c>
      <c r="C80" t="s">
        <v>71</v>
      </c>
      <c r="D80" t="s">
        <v>72</v>
      </c>
      <c r="E80" t="s">
        <v>18</v>
      </c>
      <c r="F80" t="s">
        <v>28</v>
      </c>
      <c r="G80">
        <v>53000</v>
      </c>
      <c r="H80">
        <v>7800</v>
      </c>
      <c r="I80">
        <v>2024</v>
      </c>
      <c r="J80" t="s">
        <v>106</v>
      </c>
      <c r="K80" s="5">
        <v>0.14716981132075471</v>
      </c>
    </row>
    <row r="81" spans="1:11" x14ac:dyDescent="0.3">
      <c r="A81" s="3">
        <v>45414</v>
      </c>
      <c r="B81" t="s">
        <v>29</v>
      </c>
      <c r="C81" t="s">
        <v>73</v>
      </c>
      <c r="D81" t="s">
        <v>74</v>
      </c>
      <c r="E81" t="s">
        <v>23</v>
      </c>
      <c r="F81" t="s">
        <v>24</v>
      </c>
      <c r="G81">
        <v>15500</v>
      </c>
      <c r="H81">
        <v>2300</v>
      </c>
      <c r="I81">
        <v>2024</v>
      </c>
      <c r="J81" t="s">
        <v>119</v>
      </c>
      <c r="K81" s="5">
        <v>0.14838709677419354</v>
      </c>
    </row>
    <row r="82" spans="1:11" x14ac:dyDescent="0.3">
      <c r="A82" s="3">
        <v>45415</v>
      </c>
      <c r="B82" t="s">
        <v>33</v>
      </c>
      <c r="C82" t="s">
        <v>75</v>
      </c>
      <c r="D82" t="s">
        <v>76</v>
      </c>
      <c r="E82" t="s">
        <v>18</v>
      </c>
      <c r="F82" t="s">
        <v>19</v>
      </c>
      <c r="G82">
        <v>24000</v>
      </c>
      <c r="H82">
        <v>3800</v>
      </c>
      <c r="I82">
        <v>2024</v>
      </c>
      <c r="J82" t="s">
        <v>119</v>
      </c>
      <c r="K82" s="5">
        <v>0.15833333333333333</v>
      </c>
    </row>
    <row r="83" spans="1:11" x14ac:dyDescent="0.3">
      <c r="A83" s="3">
        <v>45416</v>
      </c>
      <c r="B83" t="s">
        <v>15</v>
      </c>
      <c r="C83" t="s">
        <v>16</v>
      </c>
      <c r="D83" t="s">
        <v>77</v>
      </c>
      <c r="E83" t="s">
        <v>18</v>
      </c>
      <c r="F83" t="s">
        <v>36</v>
      </c>
      <c r="G83">
        <v>42000</v>
      </c>
      <c r="H83">
        <v>6300</v>
      </c>
      <c r="I83">
        <v>2024</v>
      </c>
      <c r="J83" t="s">
        <v>119</v>
      </c>
      <c r="K83" s="5">
        <v>0.15</v>
      </c>
    </row>
    <row r="84" spans="1:11" x14ac:dyDescent="0.3">
      <c r="A84" s="3">
        <v>45417</v>
      </c>
      <c r="B84" t="s">
        <v>15</v>
      </c>
      <c r="C84" t="s">
        <v>21</v>
      </c>
      <c r="D84" t="s">
        <v>22</v>
      </c>
      <c r="E84" t="s">
        <v>23</v>
      </c>
      <c r="F84" t="s">
        <v>40</v>
      </c>
      <c r="G84">
        <v>62000</v>
      </c>
      <c r="H84">
        <v>9200</v>
      </c>
      <c r="I84">
        <v>2024</v>
      </c>
      <c r="J84" t="s">
        <v>119</v>
      </c>
      <c r="K84" s="5">
        <v>0.14838709677419354</v>
      </c>
    </row>
    <row r="85" spans="1:11" x14ac:dyDescent="0.3">
      <c r="A85" s="3">
        <v>45418</v>
      </c>
      <c r="B85" t="s">
        <v>25</v>
      </c>
      <c r="C85" t="s">
        <v>26</v>
      </c>
      <c r="D85" t="s">
        <v>27</v>
      </c>
      <c r="E85" t="s">
        <v>18</v>
      </c>
      <c r="F85" t="s">
        <v>28</v>
      </c>
      <c r="G85">
        <v>56000</v>
      </c>
      <c r="H85">
        <v>8100</v>
      </c>
      <c r="I85">
        <v>2024</v>
      </c>
      <c r="J85" t="s">
        <v>119</v>
      </c>
      <c r="K85" s="5">
        <v>0.14464285714285716</v>
      </c>
    </row>
    <row r="86" spans="1:11" x14ac:dyDescent="0.3">
      <c r="A86" s="3">
        <v>45446</v>
      </c>
      <c r="B86" t="s">
        <v>29</v>
      </c>
      <c r="C86" t="s">
        <v>30</v>
      </c>
      <c r="D86" t="s">
        <v>78</v>
      </c>
      <c r="E86" t="s">
        <v>23</v>
      </c>
      <c r="F86" t="s">
        <v>32</v>
      </c>
      <c r="G86">
        <v>21000</v>
      </c>
      <c r="H86">
        <v>3100</v>
      </c>
      <c r="I86">
        <v>2024</v>
      </c>
      <c r="J86" t="s">
        <v>115</v>
      </c>
      <c r="K86" s="5">
        <v>0.14761904761904762</v>
      </c>
    </row>
    <row r="87" spans="1:11" x14ac:dyDescent="0.3">
      <c r="A87" s="3">
        <v>45447</v>
      </c>
      <c r="B87" t="s">
        <v>33</v>
      </c>
      <c r="C87" t="s">
        <v>34</v>
      </c>
      <c r="D87" t="s">
        <v>79</v>
      </c>
      <c r="E87" t="s">
        <v>18</v>
      </c>
      <c r="F87" t="s">
        <v>19</v>
      </c>
      <c r="G87">
        <v>27000</v>
      </c>
      <c r="H87">
        <v>4100</v>
      </c>
      <c r="I87">
        <v>2024</v>
      </c>
      <c r="J87" t="s">
        <v>115</v>
      </c>
      <c r="K87" s="5">
        <v>0.15185185185185185</v>
      </c>
    </row>
    <row r="88" spans="1:11" x14ac:dyDescent="0.3">
      <c r="A88" s="3">
        <v>45448</v>
      </c>
      <c r="B88" t="s">
        <v>15</v>
      </c>
      <c r="C88" t="s">
        <v>16</v>
      </c>
      <c r="D88" t="s">
        <v>17</v>
      </c>
      <c r="E88" t="s">
        <v>18</v>
      </c>
      <c r="F88" t="s">
        <v>19</v>
      </c>
      <c r="G88">
        <v>31000</v>
      </c>
      <c r="H88">
        <v>5200</v>
      </c>
      <c r="I88">
        <v>2024</v>
      </c>
      <c r="J88" t="s">
        <v>115</v>
      </c>
      <c r="K88" s="5">
        <v>0.16774193548387098</v>
      </c>
    </row>
    <row r="89" spans="1:11" x14ac:dyDescent="0.3">
      <c r="A89" s="3">
        <v>45449</v>
      </c>
      <c r="B89" t="s">
        <v>15</v>
      </c>
      <c r="C89" t="s">
        <v>21</v>
      </c>
      <c r="D89" t="s">
        <v>80</v>
      </c>
      <c r="E89" t="s">
        <v>23</v>
      </c>
      <c r="F89" t="s">
        <v>24</v>
      </c>
      <c r="G89">
        <v>14500</v>
      </c>
      <c r="H89">
        <v>2000</v>
      </c>
      <c r="I89">
        <v>2024</v>
      </c>
      <c r="J89" t="s">
        <v>115</v>
      </c>
      <c r="K89" s="5">
        <v>0.13793103448275862</v>
      </c>
    </row>
    <row r="90" spans="1:11" x14ac:dyDescent="0.3">
      <c r="A90" s="3">
        <v>45450</v>
      </c>
      <c r="B90" t="s">
        <v>25</v>
      </c>
      <c r="C90" t="s">
        <v>47</v>
      </c>
      <c r="D90" t="s">
        <v>81</v>
      </c>
      <c r="E90" t="s">
        <v>18</v>
      </c>
      <c r="F90" t="s">
        <v>28</v>
      </c>
      <c r="G90">
        <v>58000</v>
      </c>
      <c r="H90">
        <v>8400</v>
      </c>
      <c r="I90">
        <v>2024</v>
      </c>
      <c r="J90" t="s">
        <v>115</v>
      </c>
      <c r="K90" s="5">
        <v>0.14482758620689656</v>
      </c>
    </row>
    <row r="91" spans="1:11" x14ac:dyDescent="0.3">
      <c r="A91" s="3">
        <v>45481</v>
      </c>
      <c r="B91" t="s">
        <v>29</v>
      </c>
      <c r="C91" t="s">
        <v>49</v>
      </c>
      <c r="D91" t="s">
        <v>82</v>
      </c>
      <c r="E91" t="s">
        <v>23</v>
      </c>
      <c r="F91" t="s">
        <v>44</v>
      </c>
      <c r="G91">
        <v>33000</v>
      </c>
      <c r="H91">
        <v>4700</v>
      </c>
      <c r="I91">
        <v>2024</v>
      </c>
      <c r="J91" t="s">
        <v>120</v>
      </c>
      <c r="K91" s="5">
        <v>0.14242424242424243</v>
      </c>
    </row>
    <row r="92" spans="1:11" x14ac:dyDescent="0.3">
      <c r="A92" s="3">
        <v>45482</v>
      </c>
      <c r="B92" t="s">
        <v>33</v>
      </c>
      <c r="C92" t="s">
        <v>42</v>
      </c>
      <c r="D92" t="s">
        <v>83</v>
      </c>
      <c r="E92" t="s">
        <v>18</v>
      </c>
      <c r="F92" t="s">
        <v>36</v>
      </c>
      <c r="G92">
        <v>39000</v>
      </c>
      <c r="H92">
        <v>5800</v>
      </c>
      <c r="I92">
        <v>2024</v>
      </c>
      <c r="J92" t="s">
        <v>120</v>
      </c>
      <c r="K92" s="5">
        <v>0.14871794871794872</v>
      </c>
    </row>
    <row r="93" spans="1:11" x14ac:dyDescent="0.3">
      <c r="A93" s="3">
        <v>45483</v>
      </c>
      <c r="B93" t="s">
        <v>15</v>
      </c>
      <c r="C93" t="s">
        <v>16</v>
      </c>
      <c r="D93" t="s">
        <v>20</v>
      </c>
      <c r="E93" t="s">
        <v>18</v>
      </c>
      <c r="F93" t="s">
        <v>19</v>
      </c>
      <c r="G93">
        <v>29500</v>
      </c>
      <c r="H93">
        <v>4800</v>
      </c>
      <c r="I93">
        <v>2024</v>
      </c>
      <c r="J93" t="s">
        <v>120</v>
      </c>
      <c r="K93" s="5">
        <v>0.16271186440677965</v>
      </c>
    </row>
    <row r="94" spans="1:11" x14ac:dyDescent="0.3">
      <c r="A94" s="3">
        <v>45484</v>
      </c>
      <c r="B94" t="s">
        <v>15</v>
      </c>
      <c r="C94" t="s">
        <v>21</v>
      </c>
      <c r="D94" t="s">
        <v>84</v>
      </c>
      <c r="E94" t="s">
        <v>23</v>
      </c>
      <c r="F94" t="s">
        <v>32</v>
      </c>
      <c r="G94">
        <v>17500</v>
      </c>
      <c r="H94">
        <v>2500</v>
      </c>
      <c r="I94">
        <v>2024</v>
      </c>
      <c r="J94" t="s">
        <v>120</v>
      </c>
      <c r="K94" s="5">
        <v>0.14285714285714285</v>
      </c>
    </row>
    <row r="95" spans="1:11" x14ac:dyDescent="0.3">
      <c r="A95" s="3">
        <v>45485</v>
      </c>
      <c r="B95" t="s">
        <v>25</v>
      </c>
      <c r="C95" t="s">
        <v>3</v>
      </c>
      <c r="D95" t="s">
        <v>85</v>
      </c>
      <c r="E95" t="s">
        <v>18</v>
      </c>
      <c r="F95" t="s">
        <v>28</v>
      </c>
      <c r="G95">
        <v>57000</v>
      </c>
      <c r="H95">
        <v>8300</v>
      </c>
      <c r="I95">
        <v>2024</v>
      </c>
      <c r="J95" t="s">
        <v>120</v>
      </c>
      <c r="K95" s="5">
        <v>0.14561403508771931</v>
      </c>
    </row>
    <row r="96" spans="1:11" x14ac:dyDescent="0.3">
      <c r="A96" s="3">
        <v>45486</v>
      </c>
      <c r="B96" t="s">
        <v>29</v>
      </c>
      <c r="C96" t="s">
        <v>30</v>
      </c>
      <c r="D96" t="s">
        <v>86</v>
      </c>
      <c r="E96" t="s">
        <v>23</v>
      </c>
      <c r="F96" t="s">
        <v>40</v>
      </c>
      <c r="G96">
        <v>61000</v>
      </c>
      <c r="H96">
        <v>9100</v>
      </c>
      <c r="I96">
        <v>2024</v>
      </c>
      <c r="J96" t="s">
        <v>120</v>
      </c>
      <c r="K96" s="5">
        <v>0.14918032786885246</v>
      </c>
    </row>
    <row r="97" spans="1:11" x14ac:dyDescent="0.3">
      <c r="A97" s="3">
        <v>45487</v>
      </c>
      <c r="B97" t="s">
        <v>33</v>
      </c>
      <c r="C97" t="s">
        <v>67</v>
      </c>
      <c r="D97" t="s">
        <v>87</v>
      </c>
      <c r="E97" t="s">
        <v>18</v>
      </c>
      <c r="F97" t="s">
        <v>19</v>
      </c>
      <c r="G97">
        <v>25500</v>
      </c>
      <c r="H97">
        <v>4000</v>
      </c>
      <c r="I97">
        <v>2024</v>
      </c>
      <c r="J97" t="s">
        <v>120</v>
      </c>
      <c r="K97" s="5">
        <v>0.15686274509803921</v>
      </c>
    </row>
    <row r="98" spans="1:11" x14ac:dyDescent="0.3">
      <c r="A98" s="3">
        <v>45488</v>
      </c>
      <c r="B98" t="s">
        <v>15</v>
      </c>
      <c r="C98" t="s">
        <v>16</v>
      </c>
      <c r="D98" t="s">
        <v>88</v>
      </c>
      <c r="E98" t="s">
        <v>18</v>
      </c>
      <c r="F98" t="s">
        <v>36</v>
      </c>
      <c r="G98">
        <v>43000</v>
      </c>
      <c r="H98">
        <v>6500</v>
      </c>
      <c r="I98">
        <v>2024</v>
      </c>
      <c r="J98" t="s">
        <v>120</v>
      </c>
      <c r="K98" s="5">
        <v>0.15116279069767441</v>
      </c>
    </row>
    <row r="99" spans="1:11" x14ac:dyDescent="0.3">
      <c r="A99" s="3">
        <v>45489</v>
      </c>
      <c r="B99" t="s">
        <v>15</v>
      </c>
      <c r="C99" t="s">
        <v>21</v>
      </c>
      <c r="D99" t="s">
        <v>89</v>
      </c>
      <c r="E99" t="s">
        <v>23</v>
      </c>
      <c r="F99" t="s">
        <v>44</v>
      </c>
      <c r="G99">
        <v>34000</v>
      </c>
      <c r="H99">
        <v>4800</v>
      </c>
      <c r="I99">
        <v>2024</v>
      </c>
      <c r="J99" t="s">
        <v>120</v>
      </c>
      <c r="K99" s="5">
        <v>0.14117647058823529</v>
      </c>
    </row>
    <row r="100" spans="1:11" x14ac:dyDescent="0.3">
      <c r="A100" s="3">
        <v>45521</v>
      </c>
      <c r="B100" t="s">
        <v>25</v>
      </c>
      <c r="C100" t="s">
        <v>57</v>
      </c>
      <c r="D100" t="s">
        <v>90</v>
      </c>
      <c r="E100" t="s">
        <v>18</v>
      </c>
      <c r="F100" t="s">
        <v>28</v>
      </c>
      <c r="G100">
        <v>54500</v>
      </c>
      <c r="H100">
        <v>8000</v>
      </c>
      <c r="I100">
        <v>2024</v>
      </c>
      <c r="J100" t="s">
        <v>116</v>
      </c>
      <c r="K100" s="5">
        <v>0.14678899082568808</v>
      </c>
    </row>
    <row r="101" spans="1:11" x14ac:dyDescent="0.3">
      <c r="A101" s="3">
        <v>45522</v>
      </c>
      <c r="B101" t="s">
        <v>29</v>
      </c>
      <c r="C101" t="s">
        <v>65</v>
      </c>
      <c r="D101" t="s">
        <v>91</v>
      </c>
      <c r="E101" t="s">
        <v>23</v>
      </c>
      <c r="F101" t="s">
        <v>24</v>
      </c>
      <c r="G101">
        <v>16500</v>
      </c>
      <c r="H101">
        <v>2400</v>
      </c>
      <c r="I101">
        <v>2024</v>
      </c>
      <c r="J101" t="s">
        <v>116</v>
      </c>
      <c r="K101" s="5">
        <v>0.14545454545454545</v>
      </c>
    </row>
    <row r="102" spans="1:11" x14ac:dyDescent="0.3">
      <c r="A102" s="3">
        <v>45523</v>
      </c>
      <c r="B102" t="s">
        <v>33</v>
      </c>
      <c r="C102" t="s">
        <v>51</v>
      </c>
      <c r="D102" t="s">
        <v>92</v>
      </c>
      <c r="E102" t="s">
        <v>18</v>
      </c>
      <c r="F102" t="s">
        <v>19</v>
      </c>
      <c r="G102">
        <v>23500</v>
      </c>
      <c r="H102">
        <v>3700</v>
      </c>
      <c r="I102">
        <v>2024</v>
      </c>
      <c r="J102" t="s">
        <v>116</v>
      </c>
      <c r="K102" s="5">
        <v>0.1574468085106383</v>
      </c>
    </row>
    <row r="103" spans="1:11" x14ac:dyDescent="0.3">
      <c r="A103" s="3">
        <v>45524</v>
      </c>
      <c r="B103" t="s">
        <v>15</v>
      </c>
      <c r="C103" t="s">
        <v>16</v>
      </c>
      <c r="D103" t="s">
        <v>93</v>
      </c>
      <c r="E103" t="s">
        <v>18</v>
      </c>
      <c r="F103" t="s">
        <v>19</v>
      </c>
      <c r="G103">
        <v>26000</v>
      </c>
      <c r="H103">
        <v>4100</v>
      </c>
      <c r="I103">
        <v>2024</v>
      </c>
      <c r="J103" t="s">
        <v>116</v>
      </c>
      <c r="K103" s="5">
        <v>0.15769230769230769</v>
      </c>
    </row>
    <row r="104" spans="1:11" x14ac:dyDescent="0.3">
      <c r="A104" s="3">
        <v>45525</v>
      </c>
      <c r="B104" t="s">
        <v>15</v>
      </c>
      <c r="C104" t="s">
        <v>21</v>
      </c>
      <c r="D104" t="s">
        <v>94</v>
      </c>
      <c r="E104" t="s">
        <v>23</v>
      </c>
      <c r="F104" t="s">
        <v>32</v>
      </c>
      <c r="G104">
        <v>18500</v>
      </c>
      <c r="H104">
        <v>2700</v>
      </c>
      <c r="I104">
        <v>2024</v>
      </c>
      <c r="J104" t="s">
        <v>116</v>
      </c>
      <c r="K104" s="5">
        <v>0.14594594594594595</v>
      </c>
    </row>
    <row r="105" spans="1:11" x14ac:dyDescent="0.3">
      <c r="A105" s="3">
        <v>45526</v>
      </c>
      <c r="B105" t="s">
        <v>25</v>
      </c>
      <c r="C105" t="s">
        <v>55</v>
      </c>
      <c r="D105" t="s">
        <v>95</v>
      </c>
      <c r="E105" t="s">
        <v>18</v>
      </c>
      <c r="F105" t="s">
        <v>36</v>
      </c>
      <c r="G105">
        <v>40500</v>
      </c>
      <c r="H105">
        <v>6000</v>
      </c>
      <c r="I105">
        <v>2024</v>
      </c>
      <c r="J105" t="s">
        <v>116</v>
      </c>
      <c r="K105" s="5">
        <v>0.14814814814814814</v>
      </c>
    </row>
    <row r="106" spans="1:11" x14ac:dyDescent="0.3">
      <c r="A106" s="3">
        <v>45527</v>
      </c>
      <c r="B106" t="s">
        <v>29</v>
      </c>
      <c r="C106" t="s">
        <v>57</v>
      </c>
      <c r="D106" t="s">
        <v>96</v>
      </c>
      <c r="E106" t="s">
        <v>23</v>
      </c>
      <c r="F106" t="s">
        <v>44</v>
      </c>
      <c r="G106">
        <v>32000</v>
      </c>
      <c r="H106">
        <v>4600</v>
      </c>
      <c r="I106">
        <v>2024</v>
      </c>
      <c r="J106" t="s">
        <v>116</v>
      </c>
      <c r="K106" s="5">
        <v>0.14374999999999999</v>
      </c>
    </row>
    <row r="107" spans="1:11" x14ac:dyDescent="0.3">
      <c r="A107" s="3">
        <v>45559</v>
      </c>
      <c r="B107" t="s">
        <v>33</v>
      </c>
      <c r="C107" t="s">
        <v>59</v>
      </c>
      <c r="D107" t="s">
        <v>97</v>
      </c>
      <c r="E107" t="s">
        <v>18</v>
      </c>
      <c r="F107" t="s">
        <v>28</v>
      </c>
      <c r="G107">
        <v>51500</v>
      </c>
      <c r="H107">
        <v>7500</v>
      </c>
      <c r="I107">
        <v>2024</v>
      </c>
      <c r="J107" t="s">
        <v>117</v>
      </c>
      <c r="K107" s="5">
        <v>0.14563106796116504</v>
      </c>
    </row>
    <row r="108" spans="1:11" x14ac:dyDescent="0.3">
      <c r="A108" s="3">
        <v>45560</v>
      </c>
      <c r="B108" t="s">
        <v>15</v>
      </c>
      <c r="C108" t="s">
        <v>16</v>
      </c>
      <c r="D108" t="s">
        <v>98</v>
      </c>
      <c r="E108" t="s">
        <v>18</v>
      </c>
      <c r="F108" t="s">
        <v>19</v>
      </c>
      <c r="G108">
        <v>28500</v>
      </c>
      <c r="H108">
        <v>4500</v>
      </c>
      <c r="I108">
        <v>2024</v>
      </c>
      <c r="J108" t="s">
        <v>117</v>
      </c>
      <c r="K108" s="5">
        <v>0.15789473684210525</v>
      </c>
    </row>
    <row r="109" spans="1:11" x14ac:dyDescent="0.3">
      <c r="A109" s="3">
        <v>45561</v>
      </c>
      <c r="B109" t="s">
        <v>15</v>
      </c>
      <c r="C109" t="s">
        <v>21</v>
      </c>
      <c r="D109" t="s">
        <v>99</v>
      </c>
      <c r="E109" t="s">
        <v>23</v>
      </c>
      <c r="F109" t="s">
        <v>24</v>
      </c>
      <c r="G109">
        <v>15000</v>
      </c>
      <c r="H109">
        <v>2200</v>
      </c>
      <c r="I109">
        <v>2024</v>
      </c>
      <c r="J109" t="s">
        <v>117</v>
      </c>
      <c r="K109" s="5">
        <v>0.14666666666666667</v>
      </c>
    </row>
    <row r="110" spans="1:11" x14ac:dyDescent="0.3">
      <c r="A110" s="3">
        <v>45562</v>
      </c>
      <c r="B110" t="s">
        <v>25</v>
      </c>
      <c r="C110" t="s">
        <v>63</v>
      </c>
      <c r="D110" t="s">
        <v>100</v>
      </c>
      <c r="E110" t="s">
        <v>18</v>
      </c>
      <c r="F110" t="s">
        <v>28</v>
      </c>
      <c r="G110">
        <v>52500</v>
      </c>
      <c r="H110">
        <v>7700</v>
      </c>
      <c r="I110">
        <v>2024</v>
      </c>
      <c r="J110" t="s">
        <v>117</v>
      </c>
      <c r="K110" s="5">
        <v>0.14666666666666667</v>
      </c>
    </row>
    <row r="111" spans="1:11" x14ac:dyDescent="0.3">
      <c r="A111" s="3">
        <v>45563</v>
      </c>
      <c r="B111" t="s">
        <v>29</v>
      </c>
      <c r="C111" t="s">
        <v>73</v>
      </c>
      <c r="D111" t="s">
        <v>101</v>
      </c>
      <c r="E111" t="s">
        <v>23</v>
      </c>
      <c r="F111" t="s">
        <v>32</v>
      </c>
      <c r="G111">
        <v>19500</v>
      </c>
      <c r="H111">
        <v>2900</v>
      </c>
      <c r="I111">
        <v>2024</v>
      </c>
      <c r="J111" t="s">
        <v>117</v>
      </c>
      <c r="K111" s="5">
        <v>0.14871794871794872</v>
      </c>
    </row>
    <row r="112" spans="1:11" x14ac:dyDescent="0.3">
      <c r="A112" s="3">
        <v>45564</v>
      </c>
      <c r="B112" t="s">
        <v>33</v>
      </c>
      <c r="C112" t="s">
        <v>75</v>
      </c>
      <c r="D112" t="s">
        <v>96</v>
      </c>
      <c r="E112" t="s">
        <v>18</v>
      </c>
      <c r="F112" t="s">
        <v>19</v>
      </c>
      <c r="G112">
        <v>24500</v>
      </c>
      <c r="H112">
        <v>3900</v>
      </c>
      <c r="I112">
        <v>2024</v>
      </c>
      <c r="J112" t="s">
        <v>117</v>
      </c>
      <c r="K112" s="5">
        <v>0.15918367346938775</v>
      </c>
    </row>
    <row r="113" spans="1:11" x14ac:dyDescent="0.3">
      <c r="A113" s="3">
        <v>45566</v>
      </c>
      <c r="B113" t="s">
        <v>15</v>
      </c>
      <c r="C113" t="s">
        <v>16</v>
      </c>
      <c r="D113" t="s">
        <v>17</v>
      </c>
      <c r="E113" t="s">
        <v>18</v>
      </c>
      <c r="F113" t="s">
        <v>19</v>
      </c>
      <c r="G113">
        <v>30000</v>
      </c>
      <c r="H113">
        <v>5000</v>
      </c>
      <c r="I113">
        <v>2024</v>
      </c>
      <c r="J113" t="s">
        <v>121</v>
      </c>
      <c r="K113" s="5">
        <v>0.16666666666666666</v>
      </c>
    </row>
    <row r="114" spans="1:11" x14ac:dyDescent="0.3">
      <c r="A114" s="3">
        <v>45567</v>
      </c>
      <c r="B114" t="s">
        <v>15</v>
      </c>
      <c r="C114" t="s">
        <v>16</v>
      </c>
      <c r="D114" t="s">
        <v>20</v>
      </c>
      <c r="E114" t="s">
        <v>18</v>
      </c>
      <c r="F114" t="s">
        <v>19</v>
      </c>
      <c r="G114">
        <v>28000</v>
      </c>
      <c r="H114">
        <v>4500</v>
      </c>
      <c r="I114">
        <v>2024</v>
      </c>
      <c r="J114" t="s">
        <v>121</v>
      </c>
      <c r="K114" s="5">
        <v>0.16071428571428573</v>
      </c>
    </row>
    <row r="115" spans="1:11" x14ac:dyDescent="0.3">
      <c r="A115" s="3">
        <v>45568</v>
      </c>
      <c r="B115" t="s">
        <v>15</v>
      </c>
      <c r="C115" t="s">
        <v>21</v>
      </c>
      <c r="D115" t="s">
        <v>22</v>
      </c>
      <c r="E115" t="s">
        <v>23</v>
      </c>
      <c r="F115" t="s">
        <v>24</v>
      </c>
      <c r="G115">
        <v>15000</v>
      </c>
      <c r="H115">
        <v>2000</v>
      </c>
      <c r="I115">
        <v>2024</v>
      </c>
      <c r="J115" t="s">
        <v>121</v>
      </c>
      <c r="K115" s="5">
        <v>0.13333333333333333</v>
      </c>
    </row>
    <row r="116" spans="1:11" x14ac:dyDescent="0.3">
      <c r="A116" s="3">
        <v>45569</v>
      </c>
      <c r="B116" t="s">
        <v>25</v>
      </c>
      <c r="C116" t="s">
        <v>26</v>
      </c>
      <c r="D116" t="s">
        <v>27</v>
      </c>
      <c r="E116" t="s">
        <v>18</v>
      </c>
      <c r="F116" t="s">
        <v>28</v>
      </c>
      <c r="G116">
        <v>55000</v>
      </c>
      <c r="H116">
        <v>8000</v>
      </c>
      <c r="I116">
        <v>2024</v>
      </c>
      <c r="J116" t="s">
        <v>121</v>
      </c>
      <c r="K116" s="5">
        <v>0.14545454545454545</v>
      </c>
    </row>
    <row r="117" spans="1:11" x14ac:dyDescent="0.3">
      <c r="A117" s="3">
        <v>45570</v>
      </c>
      <c r="B117" t="s">
        <v>29</v>
      </c>
      <c r="C117" t="s">
        <v>30</v>
      </c>
      <c r="D117" t="s">
        <v>31</v>
      </c>
      <c r="E117" t="s">
        <v>23</v>
      </c>
      <c r="F117" t="s">
        <v>32</v>
      </c>
      <c r="G117">
        <v>20000</v>
      </c>
      <c r="H117">
        <v>3000</v>
      </c>
      <c r="I117">
        <v>2024</v>
      </c>
      <c r="J117" t="s">
        <v>121</v>
      </c>
      <c r="K117" s="5">
        <v>0.15</v>
      </c>
    </row>
    <row r="118" spans="1:11" x14ac:dyDescent="0.3">
      <c r="A118" s="3">
        <v>45598</v>
      </c>
      <c r="B118" t="s">
        <v>33</v>
      </c>
      <c r="C118" t="s">
        <v>34</v>
      </c>
      <c r="D118" t="s">
        <v>35</v>
      </c>
      <c r="E118" t="s">
        <v>18</v>
      </c>
      <c r="F118" t="s">
        <v>36</v>
      </c>
      <c r="G118">
        <v>40000</v>
      </c>
      <c r="H118">
        <v>6000</v>
      </c>
      <c r="I118">
        <v>2024</v>
      </c>
      <c r="J118" t="s">
        <v>118</v>
      </c>
      <c r="K118" s="5">
        <v>0.15</v>
      </c>
    </row>
    <row r="119" spans="1:11" x14ac:dyDescent="0.3">
      <c r="A119" s="3">
        <v>45599</v>
      </c>
      <c r="B119" t="s">
        <v>15</v>
      </c>
      <c r="C119" t="s">
        <v>21</v>
      </c>
      <c r="D119" t="s">
        <v>37</v>
      </c>
      <c r="E119" t="s">
        <v>18</v>
      </c>
      <c r="F119" t="s">
        <v>38</v>
      </c>
      <c r="G119">
        <v>8000</v>
      </c>
      <c r="H119">
        <v>1500</v>
      </c>
      <c r="I119">
        <v>2024</v>
      </c>
      <c r="J119" t="s">
        <v>118</v>
      </c>
      <c r="K119" s="5">
        <v>0.1875</v>
      </c>
    </row>
    <row r="120" spans="1:11" x14ac:dyDescent="0.3">
      <c r="A120" s="3">
        <v>45600</v>
      </c>
      <c r="B120" t="s">
        <v>25</v>
      </c>
      <c r="C120" t="s">
        <v>3</v>
      </c>
      <c r="D120" t="s">
        <v>39</v>
      </c>
      <c r="E120" t="s">
        <v>23</v>
      </c>
      <c r="F120" t="s">
        <v>40</v>
      </c>
      <c r="G120">
        <v>60000</v>
      </c>
      <c r="H120">
        <v>9000</v>
      </c>
      <c r="I120">
        <v>2024</v>
      </c>
      <c r="J120" t="s">
        <v>118</v>
      </c>
      <c r="K120" s="5">
        <v>0.15</v>
      </c>
    </row>
    <row r="121" spans="1:11" x14ac:dyDescent="0.3">
      <c r="A121" s="3">
        <v>45601</v>
      </c>
      <c r="B121" t="s">
        <v>29</v>
      </c>
      <c r="C121" t="s">
        <v>30</v>
      </c>
      <c r="D121" t="s">
        <v>41</v>
      </c>
      <c r="E121" t="s">
        <v>18</v>
      </c>
      <c r="F121" t="s">
        <v>28</v>
      </c>
      <c r="G121">
        <v>52000</v>
      </c>
      <c r="H121">
        <v>7500</v>
      </c>
      <c r="I121">
        <v>2024</v>
      </c>
      <c r="J121" t="s">
        <v>118</v>
      </c>
      <c r="K121" s="5">
        <v>0.14423076923076922</v>
      </c>
    </row>
    <row r="122" spans="1:11" x14ac:dyDescent="0.3">
      <c r="A122" s="3">
        <v>45602</v>
      </c>
      <c r="B122" t="s">
        <v>33</v>
      </c>
      <c r="C122" t="s">
        <v>42</v>
      </c>
      <c r="D122" t="s">
        <v>43</v>
      </c>
      <c r="E122" t="s">
        <v>23</v>
      </c>
      <c r="F122" t="s">
        <v>44</v>
      </c>
      <c r="G122">
        <v>30000</v>
      </c>
      <c r="H122">
        <v>4000</v>
      </c>
      <c r="I122">
        <v>2024</v>
      </c>
      <c r="J122" t="s">
        <v>118</v>
      </c>
      <c r="K122" s="5">
        <v>0.13333333333333333</v>
      </c>
    </row>
    <row r="123" spans="1:11" x14ac:dyDescent="0.3">
      <c r="A123" s="3">
        <v>45628</v>
      </c>
      <c r="B123" t="s">
        <v>15</v>
      </c>
      <c r="C123" t="s">
        <v>21</v>
      </c>
      <c r="D123" t="s">
        <v>22</v>
      </c>
      <c r="E123" t="s">
        <v>23</v>
      </c>
      <c r="F123" t="s">
        <v>40</v>
      </c>
      <c r="G123">
        <v>62000</v>
      </c>
      <c r="H123">
        <v>9200</v>
      </c>
      <c r="I123">
        <v>2024</v>
      </c>
      <c r="J123" t="s">
        <v>122</v>
      </c>
      <c r="K123" s="5">
        <v>0.14838709677419354</v>
      </c>
    </row>
    <row r="124" spans="1:11" x14ac:dyDescent="0.3">
      <c r="A124" s="3">
        <v>45629</v>
      </c>
      <c r="B124" t="s">
        <v>25</v>
      </c>
      <c r="C124" t="s">
        <v>26</v>
      </c>
      <c r="D124" t="s">
        <v>27</v>
      </c>
      <c r="E124" t="s">
        <v>18</v>
      </c>
      <c r="F124" t="s">
        <v>28</v>
      </c>
      <c r="G124">
        <v>56000</v>
      </c>
      <c r="H124">
        <v>8100</v>
      </c>
      <c r="I124">
        <v>2024</v>
      </c>
      <c r="J124" t="s">
        <v>122</v>
      </c>
      <c r="K124" s="5">
        <v>0.14464285714285716</v>
      </c>
    </row>
    <row r="125" spans="1:11" x14ac:dyDescent="0.3">
      <c r="A125" s="3">
        <v>45630</v>
      </c>
      <c r="B125" t="s">
        <v>29</v>
      </c>
      <c r="C125" t="s">
        <v>30</v>
      </c>
      <c r="D125" t="s">
        <v>78</v>
      </c>
      <c r="E125" t="s">
        <v>23</v>
      </c>
      <c r="F125" t="s">
        <v>32</v>
      </c>
      <c r="G125">
        <v>21000</v>
      </c>
      <c r="H125">
        <v>3100</v>
      </c>
      <c r="I125">
        <v>2024</v>
      </c>
      <c r="J125" t="s">
        <v>122</v>
      </c>
      <c r="K125" s="5">
        <v>0.14761904761904762</v>
      </c>
    </row>
    <row r="126" spans="1:11" x14ac:dyDescent="0.3">
      <c r="A126" s="3">
        <v>45631</v>
      </c>
      <c r="B126" t="s">
        <v>33</v>
      </c>
      <c r="C126" t="s">
        <v>34</v>
      </c>
      <c r="D126" t="s">
        <v>79</v>
      </c>
      <c r="E126" t="s">
        <v>18</v>
      </c>
      <c r="F126" t="s">
        <v>19</v>
      </c>
      <c r="G126">
        <v>27000</v>
      </c>
      <c r="H126">
        <v>4100</v>
      </c>
      <c r="I126">
        <v>2024</v>
      </c>
      <c r="J126" t="s">
        <v>122</v>
      </c>
      <c r="K126" s="5">
        <v>0.15185185185185185</v>
      </c>
    </row>
    <row r="127" spans="1:11" x14ac:dyDescent="0.3">
      <c r="A127" s="3">
        <v>45632</v>
      </c>
      <c r="B127" t="s">
        <v>15</v>
      </c>
      <c r="C127" t="s">
        <v>16</v>
      </c>
      <c r="D127" t="s">
        <v>17</v>
      </c>
      <c r="E127" t="s">
        <v>18</v>
      </c>
      <c r="F127" t="s">
        <v>19</v>
      </c>
      <c r="G127">
        <v>31000</v>
      </c>
      <c r="H127">
        <v>5200</v>
      </c>
      <c r="I127">
        <v>2024</v>
      </c>
      <c r="J127" t="s">
        <v>122</v>
      </c>
      <c r="K127" s="5">
        <v>0.16774193548387098</v>
      </c>
    </row>
    <row r="128" spans="1:11" x14ac:dyDescent="0.3">
      <c r="A128" s="3">
        <v>45633</v>
      </c>
      <c r="B128" t="s">
        <v>15</v>
      </c>
      <c r="C128" t="s">
        <v>21</v>
      </c>
      <c r="D128" t="s">
        <v>80</v>
      </c>
      <c r="E128" t="s">
        <v>23</v>
      </c>
      <c r="F128" t="s">
        <v>24</v>
      </c>
      <c r="G128">
        <v>14500</v>
      </c>
      <c r="H128">
        <v>2000</v>
      </c>
      <c r="I128">
        <v>2024</v>
      </c>
      <c r="J128" t="s">
        <v>122</v>
      </c>
      <c r="K128" s="5">
        <v>0.13793103448275862</v>
      </c>
    </row>
    <row r="129" spans="1:11" x14ac:dyDescent="0.3">
      <c r="A129" s="3">
        <v>45634</v>
      </c>
      <c r="B129" t="s">
        <v>25</v>
      </c>
      <c r="C129" t="s">
        <v>47</v>
      </c>
      <c r="D129" t="s">
        <v>81</v>
      </c>
      <c r="E129" t="s">
        <v>18</v>
      </c>
      <c r="F129" t="s">
        <v>28</v>
      </c>
      <c r="G129">
        <v>58000</v>
      </c>
      <c r="H129">
        <v>8400</v>
      </c>
      <c r="I129">
        <v>2024</v>
      </c>
      <c r="J129" t="s">
        <v>122</v>
      </c>
      <c r="K129" s="5">
        <v>0.14482758620689656</v>
      </c>
    </row>
    <row r="130" spans="1:11" x14ac:dyDescent="0.3">
      <c r="A130" s="3">
        <v>45635</v>
      </c>
      <c r="B130" t="s">
        <v>29</v>
      </c>
      <c r="C130" t="s">
        <v>49</v>
      </c>
      <c r="D130" t="s">
        <v>82</v>
      </c>
      <c r="E130" t="s">
        <v>23</v>
      </c>
      <c r="F130" t="s">
        <v>44</v>
      </c>
      <c r="G130">
        <v>33000</v>
      </c>
      <c r="H130">
        <v>4700</v>
      </c>
      <c r="I130">
        <v>2024</v>
      </c>
      <c r="J130" t="s">
        <v>122</v>
      </c>
      <c r="K130" s="5">
        <v>0.14242424242424243</v>
      </c>
    </row>
    <row r="131" spans="1:11" x14ac:dyDescent="0.3">
      <c r="A131" s="3">
        <v>45636</v>
      </c>
      <c r="B131" t="s">
        <v>33</v>
      </c>
      <c r="C131" t="s">
        <v>42</v>
      </c>
      <c r="D131" t="s">
        <v>83</v>
      </c>
      <c r="E131" t="s">
        <v>18</v>
      </c>
      <c r="F131" t="s">
        <v>36</v>
      </c>
      <c r="G131">
        <v>39000</v>
      </c>
      <c r="H131">
        <v>5800</v>
      </c>
      <c r="I131">
        <v>2024</v>
      </c>
      <c r="J131" t="s">
        <v>122</v>
      </c>
      <c r="K131" s="5">
        <v>0.14871794871794872</v>
      </c>
    </row>
    <row r="132" spans="1:11" x14ac:dyDescent="0.3">
      <c r="A132" s="3">
        <v>45637</v>
      </c>
      <c r="B132" t="s">
        <v>15</v>
      </c>
      <c r="C132" t="s">
        <v>16</v>
      </c>
      <c r="D132" t="s">
        <v>20</v>
      </c>
      <c r="E132" t="s">
        <v>18</v>
      </c>
      <c r="F132" t="s">
        <v>19</v>
      </c>
      <c r="G132">
        <v>29500</v>
      </c>
      <c r="H132">
        <v>4800</v>
      </c>
      <c r="I132">
        <v>2024</v>
      </c>
      <c r="J132" t="s">
        <v>122</v>
      </c>
      <c r="K132" s="5">
        <v>0.16271186440677965</v>
      </c>
    </row>
    <row r="133" spans="1:11" hidden="1" x14ac:dyDescent="0.3">
      <c r="A133" s="3">
        <v>45658</v>
      </c>
      <c r="B133" t="s">
        <v>15</v>
      </c>
      <c r="C133" t="s">
        <v>16</v>
      </c>
      <c r="D133" t="s">
        <v>17</v>
      </c>
      <c r="E133" t="s">
        <v>18</v>
      </c>
      <c r="F133" t="s">
        <v>19</v>
      </c>
      <c r="G133">
        <v>30000</v>
      </c>
      <c r="H133">
        <v>5000</v>
      </c>
      <c r="I133">
        <v>2025</v>
      </c>
      <c r="J133" t="s">
        <v>5</v>
      </c>
      <c r="K133" s="5">
        <v>0.16666666666666666</v>
      </c>
    </row>
    <row r="134" spans="1:11" hidden="1" x14ac:dyDescent="0.3">
      <c r="A134" s="3">
        <v>45659</v>
      </c>
      <c r="B134" t="s">
        <v>15</v>
      </c>
      <c r="C134" t="s">
        <v>16</v>
      </c>
      <c r="D134" t="s">
        <v>20</v>
      </c>
      <c r="E134" t="s">
        <v>18</v>
      </c>
      <c r="F134" t="s">
        <v>19</v>
      </c>
      <c r="G134">
        <v>28000</v>
      </c>
      <c r="H134">
        <v>4500</v>
      </c>
      <c r="I134">
        <v>2025</v>
      </c>
      <c r="J134" t="s">
        <v>5</v>
      </c>
      <c r="K134" s="5">
        <v>0.16071428571428573</v>
      </c>
    </row>
    <row r="135" spans="1:11" hidden="1" x14ac:dyDescent="0.3">
      <c r="A135" s="3">
        <v>45660</v>
      </c>
      <c r="B135" t="s">
        <v>15</v>
      </c>
      <c r="C135" t="s">
        <v>16</v>
      </c>
      <c r="D135" t="s">
        <v>17</v>
      </c>
      <c r="E135" t="s">
        <v>18</v>
      </c>
      <c r="F135" t="s">
        <v>19</v>
      </c>
      <c r="G135">
        <v>30000</v>
      </c>
      <c r="H135">
        <v>5000</v>
      </c>
      <c r="I135">
        <v>2025</v>
      </c>
      <c r="J135" t="s">
        <v>5</v>
      </c>
      <c r="K135" s="5">
        <v>0.16666666666666666</v>
      </c>
    </row>
    <row r="136" spans="1:11" hidden="1" x14ac:dyDescent="0.3">
      <c r="A136" s="3">
        <v>45661</v>
      </c>
      <c r="B136" t="s">
        <v>15</v>
      </c>
      <c r="C136" t="s">
        <v>16</v>
      </c>
      <c r="D136" t="s">
        <v>20</v>
      </c>
      <c r="E136" t="s">
        <v>18</v>
      </c>
      <c r="F136" t="s">
        <v>19</v>
      </c>
      <c r="G136">
        <v>28000</v>
      </c>
      <c r="H136">
        <v>4500</v>
      </c>
      <c r="I136">
        <v>2025</v>
      </c>
      <c r="J136" t="s">
        <v>5</v>
      </c>
      <c r="K136" s="5">
        <v>0.16071428571428573</v>
      </c>
    </row>
    <row r="137" spans="1:11" hidden="1" x14ac:dyDescent="0.3">
      <c r="A137" s="3">
        <v>45662</v>
      </c>
      <c r="B137" t="s">
        <v>15</v>
      </c>
      <c r="C137" t="s">
        <v>21</v>
      </c>
      <c r="D137" t="s">
        <v>22</v>
      </c>
      <c r="E137" t="s">
        <v>23</v>
      </c>
      <c r="F137" t="s">
        <v>24</v>
      </c>
      <c r="G137">
        <v>15000</v>
      </c>
      <c r="H137">
        <v>2000</v>
      </c>
      <c r="I137">
        <v>2025</v>
      </c>
      <c r="J137" t="s">
        <v>5</v>
      </c>
      <c r="K137" s="5">
        <v>0.13333333333333333</v>
      </c>
    </row>
    <row r="138" spans="1:11" hidden="1" x14ac:dyDescent="0.3">
      <c r="A138" s="3">
        <v>45663</v>
      </c>
      <c r="B138" t="s">
        <v>25</v>
      </c>
      <c r="C138" t="s">
        <v>26</v>
      </c>
      <c r="D138" t="s">
        <v>27</v>
      </c>
      <c r="E138" t="s">
        <v>18</v>
      </c>
      <c r="F138" t="s">
        <v>28</v>
      </c>
      <c r="G138">
        <v>55000</v>
      </c>
      <c r="H138">
        <v>8000</v>
      </c>
      <c r="I138">
        <v>2025</v>
      </c>
      <c r="J138" t="s">
        <v>5</v>
      </c>
      <c r="K138" s="5">
        <v>0.14545454545454545</v>
      </c>
    </row>
    <row r="139" spans="1:11" hidden="1" x14ac:dyDescent="0.3">
      <c r="A139" s="3">
        <v>45664</v>
      </c>
      <c r="B139" t="s">
        <v>29</v>
      </c>
      <c r="C139" t="s">
        <v>30</v>
      </c>
      <c r="D139" t="s">
        <v>31</v>
      </c>
      <c r="E139" t="s">
        <v>23</v>
      </c>
      <c r="F139" t="s">
        <v>32</v>
      </c>
      <c r="G139">
        <v>20000</v>
      </c>
      <c r="H139">
        <v>3000</v>
      </c>
      <c r="I139">
        <v>2025</v>
      </c>
      <c r="J139" t="s">
        <v>5</v>
      </c>
      <c r="K139" s="5">
        <v>0.15</v>
      </c>
    </row>
    <row r="140" spans="1:11" hidden="1" x14ac:dyDescent="0.3">
      <c r="A140" s="3">
        <v>45665</v>
      </c>
      <c r="B140" t="s">
        <v>33</v>
      </c>
      <c r="C140" t="s">
        <v>34</v>
      </c>
      <c r="D140" t="s">
        <v>35</v>
      </c>
      <c r="E140" t="s">
        <v>18</v>
      </c>
      <c r="F140" t="s">
        <v>36</v>
      </c>
      <c r="G140">
        <v>40000</v>
      </c>
      <c r="H140">
        <v>6000</v>
      </c>
      <c r="I140">
        <v>2025</v>
      </c>
      <c r="J140" t="s">
        <v>5</v>
      </c>
      <c r="K140" s="5">
        <v>0.15</v>
      </c>
    </row>
    <row r="141" spans="1:11" hidden="1" x14ac:dyDescent="0.3">
      <c r="A141" s="3">
        <v>45666</v>
      </c>
      <c r="B141" t="s">
        <v>15</v>
      </c>
      <c r="C141" t="s">
        <v>21</v>
      </c>
      <c r="D141" t="s">
        <v>37</v>
      </c>
      <c r="E141" t="s">
        <v>18</v>
      </c>
      <c r="F141" t="s">
        <v>38</v>
      </c>
      <c r="G141">
        <v>8000</v>
      </c>
      <c r="H141">
        <v>1500</v>
      </c>
      <c r="I141">
        <v>2025</v>
      </c>
      <c r="J141" t="s">
        <v>5</v>
      </c>
      <c r="K141" s="5">
        <v>0.1875</v>
      </c>
    </row>
    <row r="142" spans="1:11" hidden="1" x14ac:dyDescent="0.3">
      <c r="A142" s="3">
        <v>45698</v>
      </c>
      <c r="B142" t="s">
        <v>25</v>
      </c>
      <c r="C142" t="s">
        <v>3</v>
      </c>
      <c r="D142" t="s">
        <v>39</v>
      </c>
      <c r="E142" t="s">
        <v>23</v>
      </c>
      <c r="F142" t="s">
        <v>40</v>
      </c>
      <c r="G142">
        <v>60000</v>
      </c>
      <c r="H142">
        <v>9000</v>
      </c>
      <c r="I142">
        <v>2025</v>
      </c>
      <c r="J142" t="s">
        <v>6</v>
      </c>
      <c r="K142" s="5">
        <v>0.15</v>
      </c>
    </row>
    <row r="143" spans="1:11" hidden="1" x14ac:dyDescent="0.3">
      <c r="A143" s="3">
        <v>45699</v>
      </c>
      <c r="B143" t="s">
        <v>29</v>
      </c>
      <c r="C143" t="s">
        <v>30</v>
      </c>
      <c r="D143" t="s">
        <v>41</v>
      </c>
      <c r="E143" t="s">
        <v>18</v>
      </c>
      <c r="F143" t="s">
        <v>28</v>
      </c>
      <c r="G143">
        <v>52000</v>
      </c>
      <c r="H143">
        <v>7500</v>
      </c>
      <c r="I143">
        <v>2025</v>
      </c>
      <c r="J143" t="s">
        <v>6</v>
      </c>
      <c r="K143" s="5">
        <v>0.14423076923076922</v>
      </c>
    </row>
    <row r="144" spans="1:11" hidden="1" x14ac:dyDescent="0.3">
      <c r="A144" s="3">
        <v>45700</v>
      </c>
      <c r="B144" t="s">
        <v>33</v>
      </c>
      <c r="C144" t="s">
        <v>42</v>
      </c>
      <c r="D144" t="s">
        <v>43</v>
      </c>
      <c r="E144" t="s">
        <v>23</v>
      </c>
      <c r="F144" t="s">
        <v>44</v>
      </c>
      <c r="G144">
        <v>30000</v>
      </c>
      <c r="H144">
        <v>4000</v>
      </c>
      <c r="I144">
        <v>2025</v>
      </c>
      <c r="J144" t="s">
        <v>6</v>
      </c>
      <c r="K144" s="5">
        <v>0.13333333333333333</v>
      </c>
    </row>
    <row r="145" spans="1:11" hidden="1" x14ac:dyDescent="0.3">
      <c r="A145" s="3">
        <v>45701</v>
      </c>
      <c r="B145" t="s">
        <v>15</v>
      </c>
      <c r="C145" t="s">
        <v>16</v>
      </c>
      <c r="D145" t="s">
        <v>45</v>
      </c>
      <c r="E145" t="s">
        <v>18</v>
      </c>
      <c r="F145" t="s">
        <v>19</v>
      </c>
      <c r="G145">
        <v>25000</v>
      </c>
      <c r="H145">
        <v>4200</v>
      </c>
      <c r="I145">
        <v>2025</v>
      </c>
      <c r="J145" t="s">
        <v>6</v>
      </c>
      <c r="K145" s="5">
        <v>0.16800000000000001</v>
      </c>
    </row>
    <row r="146" spans="1:11" hidden="1" x14ac:dyDescent="0.3">
      <c r="A146" s="3">
        <v>45702</v>
      </c>
      <c r="B146" t="s">
        <v>15</v>
      </c>
      <c r="C146" t="s">
        <v>16</v>
      </c>
      <c r="D146" t="s">
        <v>46</v>
      </c>
      <c r="E146" t="s">
        <v>23</v>
      </c>
      <c r="F146" t="s">
        <v>32</v>
      </c>
      <c r="G146">
        <v>18000</v>
      </c>
      <c r="H146">
        <v>2600</v>
      </c>
      <c r="I146">
        <v>2025</v>
      </c>
      <c r="J146" t="s">
        <v>6</v>
      </c>
      <c r="K146" s="5">
        <v>0.14444444444444443</v>
      </c>
    </row>
    <row r="147" spans="1:11" hidden="1" x14ac:dyDescent="0.3">
      <c r="A147" s="3">
        <v>45703</v>
      </c>
      <c r="B147" t="s">
        <v>25</v>
      </c>
      <c r="C147" t="s">
        <v>47</v>
      </c>
      <c r="D147" t="s">
        <v>48</v>
      </c>
      <c r="E147" t="s">
        <v>18</v>
      </c>
      <c r="F147" t="s">
        <v>36</v>
      </c>
      <c r="G147">
        <v>38000</v>
      </c>
      <c r="H147">
        <v>5600</v>
      </c>
      <c r="I147">
        <v>2025</v>
      </c>
      <c r="J147" t="s">
        <v>6</v>
      </c>
      <c r="K147" s="5">
        <v>0.14736842105263157</v>
      </c>
    </row>
    <row r="148" spans="1:11" hidden="1" x14ac:dyDescent="0.3">
      <c r="A148" s="3">
        <v>45704</v>
      </c>
      <c r="B148" t="s">
        <v>29</v>
      </c>
      <c r="C148" t="s">
        <v>49</v>
      </c>
      <c r="D148" t="s">
        <v>50</v>
      </c>
      <c r="E148" t="s">
        <v>23</v>
      </c>
      <c r="F148" t="s">
        <v>24</v>
      </c>
      <c r="G148">
        <v>16000</v>
      </c>
      <c r="H148">
        <v>2200</v>
      </c>
      <c r="I148">
        <v>2025</v>
      </c>
      <c r="J148" t="s">
        <v>6</v>
      </c>
      <c r="K148" s="5">
        <v>0.13750000000000001</v>
      </c>
    </row>
    <row r="149" spans="1:11" hidden="1" x14ac:dyDescent="0.3">
      <c r="A149" s="3">
        <v>45733</v>
      </c>
      <c r="B149" t="s">
        <v>33</v>
      </c>
      <c r="C149" t="s">
        <v>51</v>
      </c>
      <c r="D149" t="s">
        <v>52</v>
      </c>
      <c r="E149" t="s">
        <v>18</v>
      </c>
      <c r="F149" t="s">
        <v>28</v>
      </c>
      <c r="G149">
        <v>50000</v>
      </c>
      <c r="H149">
        <v>7200</v>
      </c>
      <c r="I149">
        <v>2025</v>
      </c>
      <c r="J149" t="s">
        <v>7</v>
      </c>
      <c r="K149" s="5">
        <v>0.14399999999999999</v>
      </c>
    </row>
    <row r="150" spans="1:11" hidden="1" x14ac:dyDescent="0.3">
      <c r="A150" s="3">
        <v>45734</v>
      </c>
      <c r="B150" t="s">
        <v>15</v>
      </c>
      <c r="C150" t="s">
        <v>21</v>
      </c>
      <c r="D150" t="s">
        <v>53</v>
      </c>
      <c r="E150" t="s">
        <v>18</v>
      </c>
      <c r="F150" t="s">
        <v>19</v>
      </c>
      <c r="G150">
        <v>27000</v>
      </c>
      <c r="H150">
        <v>4300</v>
      </c>
      <c r="I150">
        <v>2025</v>
      </c>
      <c r="J150" t="s">
        <v>7</v>
      </c>
      <c r="K150" s="5">
        <v>0.15925925925925927</v>
      </c>
    </row>
    <row r="151" spans="1:11" hidden="1" x14ac:dyDescent="0.3">
      <c r="A151" s="3">
        <v>45735</v>
      </c>
      <c r="B151" t="s">
        <v>15</v>
      </c>
      <c r="C151" t="s">
        <v>16</v>
      </c>
      <c r="D151" t="s">
        <v>54</v>
      </c>
      <c r="E151" t="s">
        <v>23</v>
      </c>
      <c r="F151" t="s">
        <v>44</v>
      </c>
      <c r="G151">
        <v>32000</v>
      </c>
      <c r="H151">
        <v>4500</v>
      </c>
      <c r="I151">
        <v>2025</v>
      </c>
      <c r="J151" t="s">
        <v>7</v>
      </c>
      <c r="K151" s="5">
        <v>0.140625</v>
      </c>
    </row>
    <row r="152" spans="1:11" hidden="1" x14ac:dyDescent="0.3">
      <c r="A152" s="3">
        <v>45736</v>
      </c>
      <c r="B152" t="s">
        <v>25</v>
      </c>
      <c r="C152" t="s">
        <v>55</v>
      </c>
      <c r="D152" t="s">
        <v>56</v>
      </c>
      <c r="E152" t="s">
        <v>18</v>
      </c>
      <c r="F152" t="s">
        <v>36</v>
      </c>
      <c r="G152">
        <v>41000</v>
      </c>
      <c r="H152">
        <v>6100</v>
      </c>
      <c r="I152">
        <v>2025</v>
      </c>
      <c r="J152" t="s">
        <v>7</v>
      </c>
      <c r="K152" s="5">
        <v>0.14878048780487804</v>
      </c>
    </row>
    <row r="153" spans="1:11" hidden="1" x14ac:dyDescent="0.3">
      <c r="A153" s="3">
        <v>45737</v>
      </c>
      <c r="B153" t="s">
        <v>29</v>
      </c>
      <c r="C153" t="s">
        <v>57</v>
      </c>
      <c r="D153" t="s">
        <v>58</v>
      </c>
      <c r="E153" t="s">
        <v>23</v>
      </c>
      <c r="F153" t="s">
        <v>40</v>
      </c>
      <c r="G153">
        <v>58000</v>
      </c>
      <c r="H153">
        <v>8500</v>
      </c>
      <c r="I153">
        <v>2025</v>
      </c>
      <c r="J153" t="s">
        <v>7</v>
      </c>
      <c r="K153" s="5">
        <v>0.14655172413793102</v>
      </c>
    </row>
    <row r="154" spans="1:11" hidden="1" x14ac:dyDescent="0.3">
      <c r="A154" s="3">
        <v>45769</v>
      </c>
      <c r="B154" t="s">
        <v>33</v>
      </c>
      <c r="C154" t="s">
        <v>59</v>
      </c>
      <c r="D154" t="s">
        <v>60</v>
      </c>
      <c r="E154" t="s">
        <v>18</v>
      </c>
      <c r="F154" t="s">
        <v>19</v>
      </c>
      <c r="G154">
        <v>26000</v>
      </c>
      <c r="H154">
        <v>3900</v>
      </c>
      <c r="I154">
        <v>2025</v>
      </c>
      <c r="J154" t="s">
        <v>106</v>
      </c>
      <c r="K154" s="5">
        <v>0.15</v>
      </c>
    </row>
    <row r="155" spans="1:11" hidden="1" x14ac:dyDescent="0.3">
      <c r="A155" s="3">
        <v>45770</v>
      </c>
      <c r="B155" t="s">
        <v>15</v>
      </c>
      <c r="C155" t="s">
        <v>16</v>
      </c>
      <c r="D155" t="s">
        <v>61</v>
      </c>
      <c r="E155" t="s">
        <v>18</v>
      </c>
      <c r="F155" t="s">
        <v>38</v>
      </c>
      <c r="G155">
        <v>9000</v>
      </c>
      <c r="H155">
        <v>1700</v>
      </c>
      <c r="I155">
        <v>2025</v>
      </c>
      <c r="J155" t="s">
        <v>106</v>
      </c>
      <c r="K155" s="5">
        <v>0.18888888888888888</v>
      </c>
    </row>
    <row r="156" spans="1:11" hidden="1" x14ac:dyDescent="0.3">
      <c r="A156" s="3">
        <v>45771</v>
      </c>
      <c r="B156" t="s">
        <v>15</v>
      </c>
      <c r="C156" t="s">
        <v>21</v>
      </c>
      <c r="D156" t="s">
        <v>62</v>
      </c>
      <c r="E156" t="s">
        <v>23</v>
      </c>
      <c r="F156" t="s">
        <v>24</v>
      </c>
      <c r="G156">
        <v>14000</v>
      </c>
      <c r="H156">
        <v>2100</v>
      </c>
      <c r="I156">
        <v>2025</v>
      </c>
      <c r="J156" t="s">
        <v>106</v>
      </c>
      <c r="K156" s="5">
        <v>0.15</v>
      </c>
    </row>
    <row r="157" spans="1:11" hidden="1" x14ac:dyDescent="0.3">
      <c r="A157" s="3">
        <v>45772</v>
      </c>
      <c r="B157" t="s">
        <v>25</v>
      </c>
      <c r="C157" t="s">
        <v>63</v>
      </c>
      <c r="D157" t="s">
        <v>64</v>
      </c>
      <c r="E157" t="s">
        <v>18</v>
      </c>
      <c r="F157" t="s">
        <v>28</v>
      </c>
      <c r="G157">
        <v>54000</v>
      </c>
      <c r="H157">
        <v>7900</v>
      </c>
      <c r="I157">
        <v>2025</v>
      </c>
      <c r="J157" t="s">
        <v>106</v>
      </c>
      <c r="K157" s="5">
        <v>0.14629629629629629</v>
      </c>
    </row>
    <row r="158" spans="1:11" hidden="1" x14ac:dyDescent="0.3">
      <c r="A158" s="3">
        <v>45773</v>
      </c>
      <c r="B158" t="s">
        <v>29</v>
      </c>
      <c r="C158" t="s">
        <v>65</v>
      </c>
      <c r="D158" t="s">
        <v>66</v>
      </c>
      <c r="E158" t="s">
        <v>23</v>
      </c>
      <c r="F158" t="s">
        <v>32</v>
      </c>
      <c r="G158">
        <v>19000</v>
      </c>
      <c r="H158">
        <v>2800</v>
      </c>
      <c r="I158">
        <v>2025</v>
      </c>
      <c r="J158" t="s">
        <v>106</v>
      </c>
      <c r="K158" s="5">
        <v>0.14736842105263157</v>
      </c>
    </row>
    <row r="159" spans="1:11" hidden="1" x14ac:dyDescent="0.3">
      <c r="A159" s="3">
        <v>45774</v>
      </c>
      <c r="B159" t="s">
        <v>33</v>
      </c>
      <c r="C159" t="s">
        <v>67</v>
      </c>
      <c r="D159" t="s">
        <v>68</v>
      </c>
      <c r="E159" t="s">
        <v>18</v>
      </c>
      <c r="F159" t="s">
        <v>36</v>
      </c>
      <c r="G159">
        <v>36000</v>
      </c>
      <c r="H159">
        <v>5400</v>
      </c>
      <c r="I159">
        <v>2025</v>
      </c>
      <c r="J159" t="s">
        <v>106</v>
      </c>
      <c r="K159" s="5">
        <v>0.15</v>
      </c>
    </row>
    <row r="160" spans="1:11" hidden="1" x14ac:dyDescent="0.3">
      <c r="A160" s="3">
        <v>45775</v>
      </c>
      <c r="B160" t="s">
        <v>15</v>
      </c>
      <c r="C160" t="s">
        <v>16</v>
      </c>
      <c r="D160" t="s">
        <v>69</v>
      </c>
      <c r="E160" t="s">
        <v>18</v>
      </c>
      <c r="F160" t="s">
        <v>19</v>
      </c>
      <c r="G160">
        <v>29000</v>
      </c>
      <c r="H160">
        <v>4600</v>
      </c>
      <c r="I160">
        <v>2025</v>
      </c>
      <c r="J160" t="s">
        <v>106</v>
      </c>
      <c r="K160" s="5">
        <v>0.15862068965517243</v>
      </c>
    </row>
    <row r="161" spans="1:11" hidden="1" x14ac:dyDescent="0.3">
      <c r="A161" s="3">
        <v>45778</v>
      </c>
      <c r="B161" t="s">
        <v>15</v>
      </c>
      <c r="C161" t="s">
        <v>21</v>
      </c>
      <c r="D161" t="s">
        <v>70</v>
      </c>
      <c r="E161" t="s">
        <v>23</v>
      </c>
      <c r="F161" t="s">
        <v>44</v>
      </c>
      <c r="G161">
        <v>31000</v>
      </c>
      <c r="H161">
        <v>4400</v>
      </c>
      <c r="I161">
        <v>2025</v>
      </c>
      <c r="J161" t="s">
        <v>119</v>
      </c>
      <c r="K161" s="5">
        <v>0.14193548387096774</v>
      </c>
    </row>
    <row r="162" spans="1:11" hidden="1" x14ac:dyDescent="0.3">
      <c r="A162" s="3">
        <v>45779</v>
      </c>
      <c r="B162" t="s">
        <v>25</v>
      </c>
      <c r="C162" t="s">
        <v>71</v>
      </c>
      <c r="D162" t="s">
        <v>72</v>
      </c>
      <c r="E162" t="s">
        <v>18</v>
      </c>
      <c r="F162" t="s">
        <v>28</v>
      </c>
      <c r="G162">
        <v>53000</v>
      </c>
      <c r="H162">
        <v>7800</v>
      </c>
      <c r="I162">
        <v>2025</v>
      </c>
      <c r="J162" t="s">
        <v>119</v>
      </c>
      <c r="K162" s="5">
        <v>0.14716981132075471</v>
      </c>
    </row>
    <row r="163" spans="1:11" hidden="1" x14ac:dyDescent="0.3">
      <c r="A163" s="3">
        <v>45785</v>
      </c>
      <c r="B163" t="s">
        <v>29</v>
      </c>
      <c r="C163" t="s">
        <v>73</v>
      </c>
      <c r="D163" t="s">
        <v>74</v>
      </c>
      <c r="E163" t="s">
        <v>23</v>
      </c>
      <c r="F163" t="s">
        <v>24</v>
      </c>
      <c r="G163">
        <v>15500</v>
      </c>
      <c r="H163">
        <v>2300</v>
      </c>
      <c r="I163">
        <v>2025</v>
      </c>
      <c r="J163" t="s">
        <v>119</v>
      </c>
      <c r="K163" s="5">
        <v>0.14838709677419354</v>
      </c>
    </row>
    <row r="164" spans="1:11" hidden="1" x14ac:dyDescent="0.3">
      <c r="A164" s="3">
        <v>45786</v>
      </c>
      <c r="B164" t="s">
        <v>33</v>
      </c>
      <c r="C164" t="s">
        <v>75</v>
      </c>
      <c r="D164" t="s">
        <v>76</v>
      </c>
      <c r="E164" t="s">
        <v>18</v>
      </c>
      <c r="F164" t="s">
        <v>19</v>
      </c>
      <c r="G164">
        <v>24000</v>
      </c>
      <c r="H164">
        <v>3800</v>
      </c>
      <c r="I164">
        <v>2025</v>
      </c>
      <c r="J164" t="s">
        <v>119</v>
      </c>
      <c r="K164" s="5">
        <v>0.15833333333333333</v>
      </c>
    </row>
    <row r="165" spans="1:11" hidden="1" x14ac:dyDescent="0.3">
      <c r="A165" s="3">
        <v>45787</v>
      </c>
      <c r="B165" t="s">
        <v>15</v>
      </c>
      <c r="C165" t="s">
        <v>16</v>
      </c>
      <c r="D165" t="s">
        <v>77</v>
      </c>
      <c r="E165" t="s">
        <v>18</v>
      </c>
      <c r="F165" t="s">
        <v>36</v>
      </c>
      <c r="G165">
        <v>42000</v>
      </c>
      <c r="H165">
        <v>6300</v>
      </c>
      <c r="I165">
        <v>2025</v>
      </c>
      <c r="J165" t="s">
        <v>119</v>
      </c>
      <c r="K165" s="5">
        <v>0.15</v>
      </c>
    </row>
    <row r="166" spans="1:11" hidden="1" x14ac:dyDescent="0.3">
      <c r="A166" s="3">
        <v>45811</v>
      </c>
      <c r="B166" t="s">
        <v>15</v>
      </c>
      <c r="C166" t="s">
        <v>21</v>
      </c>
      <c r="D166" t="s">
        <v>22</v>
      </c>
      <c r="E166" t="s">
        <v>23</v>
      </c>
      <c r="F166" t="s">
        <v>40</v>
      </c>
      <c r="G166">
        <v>62000</v>
      </c>
      <c r="H166">
        <v>9200</v>
      </c>
      <c r="I166">
        <v>2025</v>
      </c>
      <c r="J166" t="s">
        <v>115</v>
      </c>
      <c r="K166" s="5">
        <v>0.14838709677419354</v>
      </c>
    </row>
    <row r="167" spans="1:11" hidden="1" x14ac:dyDescent="0.3">
      <c r="A167" s="3">
        <v>45812</v>
      </c>
      <c r="B167" t="s">
        <v>25</v>
      </c>
      <c r="C167" t="s">
        <v>26</v>
      </c>
      <c r="D167" t="s">
        <v>27</v>
      </c>
      <c r="E167" t="s">
        <v>18</v>
      </c>
      <c r="F167" t="s">
        <v>28</v>
      </c>
      <c r="G167">
        <v>56000</v>
      </c>
      <c r="H167">
        <v>8100</v>
      </c>
      <c r="I167">
        <v>2025</v>
      </c>
      <c r="J167" t="s">
        <v>115</v>
      </c>
      <c r="K167" s="5">
        <v>0.14464285714285716</v>
      </c>
    </row>
    <row r="168" spans="1:11" hidden="1" x14ac:dyDescent="0.3">
      <c r="A168" s="3">
        <v>45813</v>
      </c>
      <c r="B168" t="s">
        <v>29</v>
      </c>
      <c r="C168" t="s">
        <v>30</v>
      </c>
      <c r="D168" t="s">
        <v>78</v>
      </c>
      <c r="E168" t="s">
        <v>23</v>
      </c>
      <c r="F168" t="s">
        <v>32</v>
      </c>
      <c r="G168">
        <v>21000</v>
      </c>
      <c r="H168">
        <v>3100</v>
      </c>
      <c r="I168">
        <v>2025</v>
      </c>
      <c r="J168" t="s">
        <v>115</v>
      </c>
      <c r="K168" s="5">
        <v>0.14761904761904762</v>
      </c>
    </row>
    <row r="169" spans="1:11" hidden="1" x14ac:dyDescent="0.3">
      <c r="A169" s="3">
        <v>45814</v>
      </c>
      <c r="B169" t="s">
        <v>33</v>
      </c>
      <c r="C169" t="s">
        <v>34</v>
      </c>
      <c r="D169" t="s">
        <v>79</v>
      </c>
      <c r="E169" t="s">
        <v>18</v>
      </c>
      <c r="F169" t="s">
        <v>19</v>
      </c>
      <c r="G169">
        <v>27000</v>
      </c>
      <c r="H169">
        <v>4100</v>
      </c>
      <c r="I169">
        <v>2025</v>
      </c>
      <c r="J169" t="s">
        <v>115</v>
      </c>
      <c r="K169" s="5">
        <v>0.15185185185185185</v>
      </c>
    </row>
    <row r="170" spans="1:11" hidden="1" x14ac:dyDescent="0.3">
      <c r="A170" s="3">
        <v>45815</v>
      </c>
      <c r="B170" t="s">
        <v>15</v>
      </c>
      <c r="C170" t="s">
        <v>16</v>
      </c>
      <c r="D170" t="s">
        <v>17</v>
      </c>
      <c r="E170" t="s">
        <v>18</v>
      </c>
      <c r="F170" t="s">
        <v>19</v>
      </c>
      <c r="G170">
        <v>31000</v>
      </c>
      <c r="H170">
        <v>5200</v>
      </c>
      <c r="I170">
        <v>2025</v>
      </c>
      <c r="J170" t="s">
        <v>115</v>
      </c>
      <c r="K170" s="5">
        <v>0.16774193548387098</v>
      </c>
    </row>
    <row r="171" spans="1:11" hidden="1" x14ac:dyDescent="0.3">
      <c r="A171" s="3">
        <v>45846</v>
      </c>
      <c r="B171" t="s">
        <v>15</v>
      </c>
      <c r="C171" t="s">
        <v>21</v>
      </c>
      <c r="D171" t="s">
        <v>80</v>
      </c>
      <c r="E171" t="s">
        <v>23</v>
      </c>
      <c r="F171" t="s">
        <v>24</v>
      </c>
      <c r="G171">
        <v>14500</v>
      </c>
      <c r="H171">
        <v>2000</v>
      </c>
      <c r="I171">
        <v>2025</v>
      </c>
      <c r="J171" t="s">
        <v>120</v>
      </c>
      <c r="K171" s="5">
        <v>0.13793103448275862</v>
      </c>
    </row>
    <row r="172" spans="1:11" hidden="1" x14ac:dyDescent="0.3">
      <c r="A172" s="3">
        <v>45847</v>
      </c>
      <c r="B172" t="s">
        <v>25</v>
      </c>
      <c r="C172" t="s">
        <v>47</v>
      </c>
      <c r="D172" t="s">
        <v>81</v>
      </c>
      <c r="E172" t="s">
        <v>18</v>
      </c>
      <c r="F172" t="s">
        <v>28</v>
      </c>
      <c r="G172">
        <v>58000</v>
      </c>
      <c r="H172">
        <v>8400</v>
      </c>
      <c r="I172">
        <v>2025</v>
      </c>
      <c r="J172" t="s">
        <v>120</v>
      </c>
      <c r="K172" s="5">
        <v>0.14482758620689656</v>
      </c>
    </row>
    <row r="173" spans="1:11" hidden="1" x14ac:dyDescent="0.3">
      <c r="A173" s="3">
        <v>45848</v>
      </c>
      <c r="B173" t="s">
        <v>29</v>
      </c>
      <c r="C173" t="s">
        <v>49</v>
      </c>
      <c r="D173" t="s">
        <v>82</v>
      </c>
      <c r="E173" t="s">
        <v>23</v>
      </c>
      <c r="F173" t="s">
        <v>44</v>
      </c>
      <c r="G173">
        <v>33000</v>
      </c>
      <c r="H173">
        <v>4700</v>
      </c>
      <c r="I173">
        <v>2025</v>
      </c>
      <c r="J173" t="s">
        <v>120</v>
      </c>
      <c r="K173" s="5">
        <v>0.14242424242424243</v>
      </c>
    </row>
    <row r="174" spans="1:11" hidden="1" x14ac:dyDescent="0.3">
      <c r="A174" s="3">
        <v>45849</v>
      </c>
      <c r="B174" t="s">
        <v>33</v>
      </c>
      <c r="C174" t="s">
        <v>42</v>
      </c>
      <c r="D174" t="s">
        <v>83</v>
      </c>
      <c r="E174" t="s">
        <v>18</v>
      </c>
      <c r="F174" t="s">
        <v>36</v>
      </c>
      <c r="G174">
        <v>39000</v>
      </c>
      <c r="H174">
        <v>5800</v>
      </c>
      <c r="I174">
        <v>2025</v>
      </c>
      <c r="J174" t="s">
        <v>120</v>
      </c>
      <c r="K174" s="5">
        <v>0.14871794871794872</v>
      </c>
    </row>
    <row r="175" spans="1:11" hidden="1" x14ac:dyDescent="0.3">
      <c r="A175" s="3">
        <v>45850</v>
      </c>
      <c r="B175" t="s">
        <v>15</v>
      </c>
      <c r="C175" t="s">
        <v>16</v>
      </c>
      <c r="D175" t="s">
        <v>20</v>
      </c>
      <c r="E175" t="s">
        <v>18</v>
      </c>
      <c r="F175" t="s">
        <v>19</v>
      </c>
      <c r="G175">
        <v>29500</v>
      </c>
      <c r="H175">
        <v>4800</v>
      </c>
      <c r="I175">
        <v>2025</v>
      </c>
      <c r="J175" t="s">
        <v>120</v>
      </c>
      <c r="K175" s="5">
        <v>0.16271186440677965</v>
      </c>
    </row>
    <row r="176" spans="1:11" hidden="1" x14ac:dyDescent="0.3">
      <c r="A176" s="3">
        <v>45851</v>
      </c>
      <c r="B176" t="s">
        <v>15</v>
      </c>
      <c r="C176" t="s">
        <v>21</v>
      </c>
      <c r="D176" t="s">
        <v>84</v>
      </c>
      <c r="E176" t="s">
        <v>23</v>
      </c>
      <c r="F176" t="s">
        <v>32</v>
      </c>
      <c r="G176">
        <v>17500</v>
      </c>
      <c r="H176">
        <v>2500</v>
      </c>
      <c r="I176">
        <v>2025</v>
      </c>
      <c r="J176" t="s">
        <v>120</v>
      </c>
      <c r="K176" s="5">
        <v>0.14285714285714285</v>
      </c>
    </row>
    <row r="177" spans="1:11" hidden="1" x14ac:dyDescent="0.3">
      <c r="A177" s="3">
        <v>45852</v>
      </c>
      <c r="B177" t="s">
        <v>25</v>
      </c>
      <c r="C177" t="s">
        <v>3</v>
      </c>
      <c r="D177" t="s">
        <v>85</v>
      </c>
      <c r="E177" t="s">
        <v>18</v>
      </c>
      <c r="F177" t="s">
        <v>28</v>
      </c>
      <c r="G177">
        <v>57000</v>
      </c>
      <c r="H177">
        <v>8300</v>
      </c>
      <c r="I177">
        <v>2025</v>
      </c>
      <c r="J177" t="s">
        <v>120</v>
      </c>
      <c r="K177" s="5">
        <v>0.14561403508771931</v>
      </c>
    </row>
    <row r="178" spans="1:11" hidden="1" x14ac:dyDescent="0.3">
      <c r="A178" s="3">
        <v>45853</v>
      </c>
      <c r="B178" t="s">
        <v>29</v>
      </c>
      <c r="C178" t="s">
        <v>30</v>
      </c>
      <c r="D178" t="s">
        <v>86</v>
      </c>
      <c r="E178" t="s">
        <v>23</v>
      </c>
      <c r="F178" t="s">
        <v>40</v>
      </c>
      <c r="G178">
        <v>61000</v>
      </c>
      <c r="H178">
        <v>9100</v>
      </c>
      <c r="I178">
        <v>2025</v>
      </c>
      <c r="J178" t="s">
        <v>120</v>
      </c>
      <c r="K178" s="5">
        <v>0.14918032786885246</v>
      </c>
    </row>
    <row r="179" spans="1:11" hidden="1" x14ac:dyDescent="0.3">
      <c r="A179" s="3">
        <v>45854</v>
      </c>
      <c r="B179" t="s">
        <v>33</v>
      </c>
      <c r="C179" t="s">
        <v>67</v>
      </c>
      <c r="D179" t="s">
        <v>87</v>
      </c>
      <c r="E179" t="s">
        <v>18</v>
      </c>
      <c r="F179" t="s">
        <v>19</v>
      </c>
      <c r="G179">
        <v>25500</v>
      </c>
      <c r="H179">
        <v>4000</v>
      </c>
      <c r="I179">
        <v>2025</v>
      </c>
      <c r="J179" t="s">
        <v>120</v>
      </c>
      <c r="K179" s="5">
        <v>0.15686274509803921</v>
      </c>
    </row>
    <row r="180" spans="1:11" hidden="1" x14ac:dyDescent="0.3">
      <c r="A180" s="3">
        <v>45886</v>
      </c>
      <c r="B180" t="s">
        <v>15</v>
      </c>
      <c r="C180" t="s">
        <v>16</v>
      </c>
      <c r="D180" t="s">
        <v>88</v>
      </c>
      <c r="E180" t="s">
        <v>18</v>
      </c>
      <c r="F180" t="s">
        <v>36</v>
      </c>
      <c r="G180">
        <v>43000</v>
      </c>
      <c r="H180">
        <v>6500</v>
      </c>
      <c r="I180">
        <v>2025</v>
      </c>
      <c r="J180" t="s">
        <v>116</v>
      </c>
      <c r="K180" s="5">
        <v>0.15116279069767441</v>
      </c>
    </row>
    <row r="181" spans="1:11" hidden="1" x14ac:dyDescent="0.3">
      <c r="A181" s="3">
        <v>45887</v>
      </c>
      <c r="B181" t="s">
        <v>15</v>
      </c>
      <c r="C181" t="s">
        <v>21</v>
      </c>
      <c r="D181" t="s">
        <v>89</v>
      </c>
      <c r="E181" t="s">
        <v>23</v>
      </c>
      <c r="F181" t="s">
        <v>44</v>
      </c>
      <c r="G181">
        <v>34000</v>
      </c>
      <c r="H181">
        <v>4800</v>
      </c>
      <c r="I181">
        <v>2025</v>
      </c>
      <c r="J181" t="s">
        <v>116</v>
      </c>
      <c r="K181" s="5">
        <v>0.14117647058823529</v>
      </c>
    </row>
    <row r="182" spans="1:11" hidden="1" x14ac:dyDescent="0.3">
      <c r="A182" s="3">
        <v>45888</v>
      </c>
      <c r="B182" t="s">
        <v>25</v>
      </c>
      <c r="C182" t="s">
        <v>57</v>
      </c>
      <c r="D182" t="s">
        <v>90</v>
      </c>
      <c r="E182" t="s">
        <v>18</v>
      </c>
      <c r="F182" t="s">
        <v>28</v>
      </c>
      <c r="G182">
        <v>54500</v>
      </c>
      <c r="H182">
        <v>8000</v>
      </c>
      <c r="I182">
        <v>2025</v>
      </c>
      <c r="J182" t="s">
        <v>116</v>
      </c>
      <c r="K182" s="5">
        <v>0.14678899082568808</v>
      </c>
    </row>
    <row r="183" spans="1:11" hidden="1" x14ac:dyDescent="0.3">
      <c r="A183" s="3">
        <v>45889</v>
      </c>
      <c r="B183" t="s">
        <v>29</v>
      </c>
      <c r="C183" t="s">
        <v>65</v>
      </c>
      <c r="D183" t="s">
        <v>91</v>
      </c>
      <c r="E183" t="s">
        <v>23</v>
      </c>
      <c r="F183" t="s">
        <v>24</v>
      </c>
      <c r="G183">
        <v>16500</v>
      </c>
      <c r="H183">
        <v>2400</v>
      </c>
      <c r="I183">
        <v>2025</v>
      </c>
      <c r="J183" t="s">
        <v>116</v>
      </c>
      <c r="K183" s="5">
        <v>0.14545454545454545</v>
      </c>
    </row>
    <row r="184" spans="1:11" hidden="1" x14ac:dyDescent="0.3">
      <c r="A184" s="3">
        <v>45890</v>
      </c>
      <c r="B184" t="s">
        <v>33</v>
      </c>
      <c r="C184" t="s">
        <v>51</v>
      </c>
      <c r="D184" t="s">
        <v>92</v>
      </c>
      <c r="E184" t="s">
        <v>18</v>
      </c>
      <c r="F184" t="s">
        <v>19</v>
      </c>
      <c r="G184">
        <v>23500</v>
      </c>
      <c r="H184">
        <v>3700</v>
      </c>
      <c r="I184">
        <v>2025</v>
      </c>
      <c r="J184" t="s">
        <v>116</v>
      </c>
      <c r="K184" s="5">
        <v>0.1574468085106383</v>
      </c>
    </row>
    <row r="185" spans="1:11" hidden="1" x14ac:dyDescent="0.3">
      <c r="A185" s="3">
        <v>45891</v>
      </c>
      <c r="B185" t="s">
        <v>15</v>
      </c>
      <c r="C185" t="s">
        <v>16</v>
      </c>
      <c r="D185" t="s">
        <v>93</v>
      </c>
      <c r="E185" t="s">
        <v>18</v>
      </c>
      <c r="F185" t="s">
        <v>19</v>
      </c>
      <c r="G185">
        <v>26000</v>
      </c>
      <c r="H185">
        <v>4100</v>
      </c>
      <c r="I185">
        <v>2025</v>
      </c>
      <c r="J185" t="s">
        <v>116</v>
      </c>
      <c r="K185" s="5">
        <v>0.15769230769230769</v>
      </c>
    </row>
    <row r="186" spans="1:11" hidden="1" x14ac:dyDescent="0.3">
      <c r="A186" s="3">
        <v>45892</v>
      </c>
      <c r="B186" t="s">
        <v>15</v>
      </c>
      <c r="C186" t="s">
        <v>21</v>
      </c>
      <c r="D186" t="s">
        <v>94</v>
      </c>
      <c r="E186" t="s">
        <v>23</v>
      </c>
      <c r="F186" t="s">
        <v>32</v>
      </c>
      <c r="G186">
        <v>18500</v>
      </c>
      <c r="H186">
        <v>2700</v>
      </c>
      <c r="I186">
        <v>2025</v>
      </c>
      <c r="J186" t="s">
        <v>116</v>
      </c>
      <c r="K186" s="5">
        <v>0.14594594594594595</v>
      </c>
    </row>
    <row r="187" spans="1:11" hidden="1" x14ac:dyDescent="0.3">
      <c r="A187" s="3">
        <v>45924</v>
      </c>
      <c r="B187" t="s">
        <v>25</v>
      </c>
      <c r="C187" t="s">
        <v>55</v>
      </c>
      <c r="D187" t="s">
        <v>95</v>
      </c>
      <c r="E187" t="s">
        <v>18</v>
      </c>
      <c r="F187" t="s">
        <v>36</v>
      </c>
      <c r="G187">
        <v>40500</v>
      </c>
      <c r="H187">
        <v>6000</v>
      </c>
      <c r="I187">
        <v>2025</v>
      </c>
      <c r="J187" t="s">
        <v>117</v>
      </c>
      <c r="K187" s="5">
        <v>0.14814814814814814</v>
      </c>
    </row>
    <row r="188" spans="1:11" hidden="1" x14ac:dyDescent="0.3">
      <c r="A188" s="3">
        <v>45925</v>
      </c>
      <c r="B188" t="s">
        <v>29</v>
      </c>
      <c r="C188" t="s">
        <v>57</v>
      </c>
      <c r="D188" t="s">
        <v>96</v>
      </c>
      <c r="E188" t="s">
        <v>23</v>
      </c>
      <c r="F188" t="s">
        <v>44</v>
      </c>
      <c r="G188">
        <v>32000</v>
      </c>
      <c r="H188">
        <v>4600</v>
      </c>
      <c r="I188">
        <v>2025</v>
      </c>
      <c r="J188" t="s">
        <v>117</v>
      </c>
      <c r="K188" s="5">
        <v>0.14374999999999999</v>
      </c>
    </row>
    <row r="189" spans="1:11" hidden="1" x14ac:dyDescent="0.3">
      <c r="A189" s="3">
        <v>45926</v>
      </c>
      <c r="B189" t="s">
        <v>33</v>
      </c>
      <c r="C189" t="s">
        <v>59</v>
      </c>
      <c r="D189" t="s">
        <v>97</v>
      </c>
      <c r="E189" t="s">
        <v>18</v>
      </c>
      <c r="F189" t="s">
        <v>28</v>
      </c>
      <c r="G189">
        <v>51500</v>
      </c>
      <c r="H189">
        <v>7500</v>
      </c>
      <c r="I189">
        <v>2025</v>
      </c>
      <c r="J189" t="s">
        <v>117</v>
      </c>
      <c r="K189" s="5">
        <v>0.14563106796116504</v>
      </c>
    </row>
    <row r="190" spans="1:11" hidden="1" x14ac:dyDescent="0.3">
      <c r="A190" s="3">
        <v>45927</v>
      </c>
      <c r="B190" t="s">
        <v>15</v>
      </c>
      <c r="C190" t="s">
        <v>16</v>
      </c>
      <c r="D190" t="s">
        <v>98</v>
      </c>
      <c r="E190" t="s">
        <v>18</v>
      </c>
      <c r="F190" t="s">
        <v>19</v>
      </c>
      <c r="G190">
        <v>28500</v>
      </c>
      <c r="H190">
        <v>4500</v>
      </c>
      <c r="I190">
        <v>2025</v>
      </c>
      <c r="J190" t="s">
        <v>117</v>
      </c>
      <c r="K190" s="5">
        <v>0.15789473684210525</v>
      </c>
    </row>
    <row r="191" spans="1:11" hidden="1" x14ac:dyDescent="0.3">
      <c r="A191" s="3">
        <v>45928</v>
      </c>
      <c r="B191" t="s">
        <v>15</v>
      </c>
      <c r="C191" t="s">
        <v>21</v>
      </c>
      <c r="D191" t="s">
        <v>99</v>
      </c>
      <c r="E191" t="s">
        <v>23</v>
      </c>
      <c r="F191" t="s">
        <v>24</v>
      </c>
      <c r="G191">
        <v>15000</v>
      </c>
      <c r="H191">
        <v>2200</v>
      </c>
      <c r="I191">
        <v>2025</v>
      </c>
      <c r="J191" t="s">
        <v>117</v>
      </c>
      <c r="K191" s="5">
        <v>0.14666666666666667</v>
      </c>
    </row>
    <row r="192" spans="1:11" hidden="1" x14ac:dyDescent="0.3">
      <c r="A192" s="3">
        <v>45929</v>
      </c>
      <c r="B192" t="s">
        <v>25</v>
      </c>
      <c r="C192" t="s">
        <v>63</v>
      </c>
      <c r="D192" t="s">
        <v>100</v>
      </c>
      <c r="E192" t="s">
        <v>18</v>
      </c>
      <c r="F192" t="s">
        <v>28</v>
      </c>
      <c r="G192">
        <v>52500</v>
      </c>
      <c r="H192">
        <v>7700</v>
      </c>
      <c r="I192">
        <v>2025</v>
      </c>
      <c r="J192" t="s">
        <v>117</v>
      </c>
      <c r="K192" s="5">
        <v>0.14666666666666667</v>
      </c>
    </row>
    <row r="193" spans="1:11" hidden="1" x14ac:dyDescent="0.3">
      <c r="A193" s="3">
        <v>45931</v>
      </c>
      <c r="B193" t="s">
        <v>29</v>
      </c>
      <c r="C193" t="s">
        <v>73</v>
      </c>
      <c r="D193" t="s">
        <v>101</v>
      </c>
      <c r="E193" t="s">
        <v>23</v>
      </c>
      <c r="F193" t="s">
        <v>32</v>
      </c>
      <c r="G193">
        <v>19500</v>
      </c>
      <c r="H193">
        <v>2900</v>
      </c>
      <c r="I193">
        <v>2025</v>
      </c>
      <c r="J193" t="s">
        <v>121</v>
      </c>
      <c r="K193" s="5">
        <v>0.14871794871794872</v>
      </c>
    </row>
    <row r="194" spans="1:11" hidden="1" x14ac:dyDescent="0.3">
      <c r="A194" s="3">
        <v>45932</v>
      </c>
      <c r="B194" t="s">
        <v>33</v>
      </c>
      <c r="C194" t="s">
        <v>75</v>
      </c>
      <c r="D194" t="s">
        <v>96</v>
      </c>
      <c r="E194" t="s">
        <v>18</v>
      </c>
      <c r="F194" t="s">
        <v>19</v>
      </c>
      <c r="G194">
        <v>24500</v>
      </c>
      <c r="H194">
        <v>3900</v>
      </c>
      <c r="I194">
        <v>2025</v>
      </c>
      <c r="J194" t="s">
        <v>121</v>
      </c>
      <c r="K194" s="5">
        <v>0.15918367346938775</v>
      </c>
    </row>
    <row r="195" spans="1:11" hidden="1" x14ac:dyDescent="0.3">
      <c r="A195" s="3">
        <v>45933</v>
      </c>
      <c r="B195" t="s">
        <v>15</v>
      </c>
      <c r="C195" t="s">
        <v>21</v>
      </c>
      <c r="D195" t="s">
        <v>22</v>
      </c>
      <c r="E195" t="s">
        <v>23</v>
      </c>
      <c r="F195" t="s">
        <v>24</v>
      </c>
      <c r="G195">
        <v>15000</v>
      </c>
      <c r="H195">
        <v>2000</v>
      </c>
      <c r="I195">
        <v>2025</v>
      </c>
      <c r="J195" t="s">
        <v>121</v>
      </c>
      <c r="K195" s="5">
        <v>0.13333333333333333</v>
      </c>
    </row>
    <row r="196" spans="1:11" hidden="1" x14ac:dyDescent="0.3">
      <c r="A196" s="3">
        <v>45934</v>
      </c>
      <c r="B196" t="s">
        <v>25</v>
      </c>
      <c r="C196" t="s">
        <v>26</v>
      </c>
      <c r="D196" t="s">
        <v>27</v>
      </c>
      <c r="E196" t="s">
        <v>18</v>
      </c>
      <c r="F196" t="s">
        <v>28</v>
      </c>
      <c r="G196">
        <v>55000</v>
      </c>
      <c r="H196">
        <v>8000</v>
      </c>
      <c r="I196">
        <v>2025</v>
      </c>
      <c r="J196" t="s">
        <v>121</v>
      </c>
      <c r="K196" s="5">
        <v>0.14545454545454545</v>
      </c>
    </row>
    <row r="197" spans="1:11" hidden="1" x14ac:dyDescent="0.3">
      <c r="A197" s="3">
        <v>45935</v>
      </c>
      <c r="B197" t="s">
        <v>29</v>
      </c>
      <c r="C197" t="s">
        <v>30</v>
      </c>
      <c r="D197" t="s">
        <v>31</v>
      </c>
      <c r="E197" t="s">
        <v>23</v>
      </c>
      <c r="F197" t="s">
        <v>32</v>
      </c>
      <c r="G197">
        <v>20000</v>
      </c>
      <c r="H197">
        <v>3000</v>
      </c>
      <c r="I197">
        <v>2025</v>
      </c>
      <c r="J197" t="s">
        <v>121</v>
      </c>
      <c r="K197" s="5">
        <v>0.15</v>
      </c>
    </row>
    <row r="198" spans="1:11" hidden="1" x14ac:dyDescent="0.3">
      <c r="A198" s="3">
        <v>45962</v>
      </c>
      <c r="B198" t="s">
        <v>33</v>
      </c>
      <c r="C198" t="s">
        <v>34</v>
      </c>
      <c r="D198" t="s">
        <v>35</v>
      </c>
      <c r="E198" t="s">
        <v>18</v>
      </c>
      <c r="F198" t="s">
        <v>36</v>
      </c>
      <c r="G198">
        <v>40000</v>
      </c>
      <c r="H198">
        <v>6000</v>
      </c>
      <c r="I198">
        <v>2025</v>
      </c>
      <c r="J198" t="s">
        <v>118</v>
      </c>
      <c r="K198" s="5">
        <v>0.15</v>
      </c>
    </row>
    <row r="199" spans="1:11" hidden="1" x14ac:dyDescent="0.3">
      <c r="A199" s="3">
        <v>45963</v>
      </c>
      <c r="B199" t="s">
        <v>15</v>
      </c>
      <c r="C199" t="s">
        <v>21</v>
      </c>
      <c r="D199" t="s">
        <v>37</v>
      </c>
      <c r="E199" t="s">
        <v>18</v>
      </c>
      <c r="F199" t="s">
        <v>38</v>
      </c>
      <c r="G199">
        <v>8000</v>
      </c>
      <c r="H199">
        <v>1500</v>
      </c>
      <c r="I199">
        <v>2025</v>
      </c>
      <c r="J199" t="s">
        <v>118</v>
      </c>
      <c r="K199" s="5">
        <v>0.1875</v>
      </c>
    </row>
    <row r="200" spans="1:11" hidden="1" x14ac:dyDescent="0.3">
      <c r="A200" s="3">
        <v>45964</v>
      </c>
      <c r="B200" t="s">
        <v>25</v>
      </c>
      <c r="C200" t="s">
        <v>3</v>
      </c>
      <c r="D200" t="s">
        <v>39</v>
      </c>
      <c r="E200" t="s">
        <v>23</v>
      </c>
      <c r="F200" t="s">
        <v>40</v>
      </c>
      <c r="G200">
        <v>60000</v>
      </c>
      <c r="H200">
        <v>9000</v>
      </c>
      <c r="I200">
        <v>2025</v>
      </c>
      <c r="J200" t="s">
        <v>118</v>
      </c>
      <c r="K200" s="5">
        <v>0.15</v>
      </c>
    </row>
    <row r="201" spans="1:11" hidden="1" x14ac:dyDescent="0.3">
      <c r="A201" s="3">
        <v>45965</v>
      </c>
      <c r="B201" t="s">
        <v>29</v>
      </c>
      <c r="C201" t="s">
        <v>30</v>
      </c>
      <c r="D201" t="s">
        <v>41</v>
      </c>
      <c r="E201" t="s">
        <v>18</v>
      </c>
      <c r="F201" t="s">
        <v>28</v>
      </c>
      <c r="G201">
        <v>52000</v>
      </c>
      <c r="H201">
        <v>7500</v>
      </c>
      <c r="I201">
        <v>2025</v>
      </c>
      <c r="J201" t="s">
        <v>118</v>
      </c>
      <c r="K201" s="5">
        <v>0.14423076923076922</v>
      </c>
    </row>
    <row r="202" spans="1:11" hidden="1" x14ac:dyDescent="0.3">
      <c r="A202" s="3">
        <v>45966</v>
      </c>
      <c r="B202" t="s">
        <v>33</v>
      </c>
      <c r="C202" t="s">
        <v>42</v>
      </c>
      <c r="D202" t="s">
        <v>43</v>
      </c>
      <c r="E202" t="s">
        <v>23</v>
      </c>
      <c r="F202" t="s">
        <v>44</v>
      </c>
      <c r="G202">
        <v>30000</v>
      </c>
      <c r="H202">
        <v>4000</v>
      </c>
      <c r="I202">
        <v>2025</v>
      </c>
      <c r="J202" t="s">
        <v>118</v>
      </c>
      <c r="K202" s="5">
        <v>0.13333333333333333</v>
      </c>
    </row>
    <row r="203" spans="1:11" hidden="1" x14ac:dyDescent="0.3">
      <c r="A203" s="3">
        <v>45992</v>
      </c>
      <c r="B203" t="s">
        <v>15</v>
      </c>
      <c r="C203" t="s">
        <v>16</v>
      </c>
      <c r="D203" t="s">
        <v>17</v>
      </c>
      <c r="E203" t="s">
        <v>18</v>
      </c>
      <c r="F203" t="s">
        <v>19</v>
      </c>
      <c r="G203">
        <v>31000</v>
      </c>
      <c r="H203">
        <v>5200</v>
      </c>
      <c r="I203">
        <v>2025</v>
      </c>
      <c r="J203" t="s">
        <v>122</v>
      </c>
      <c r="K203" s="5">
        <v>0.16774193548387098</v>
      </c>
    </row>
    <row r="204" spans="1:11" hidden="1" x14ac:dyDescent="0.3">
      <c r="A204" s="3">
        <v>45993</v>
      </c>
      <c r="B204" t="s">
        <v>15</v>
      </c>
      <c r="C204" t="s">
        <v>21</v>
      </c>
      <c r="D204" t="s">
        <v>80</v>
      </c>
      <c r="E204" t="s">
        <v>23</v>
      </c>
      <c r="F204" t="s">
        <v>24</v>
      </c>
      <c r="G204">
        <v>14500</v>
      </c>
      <c r="H204">
        <v>2000</v>
      </c>
      <c r="I204">
        <v>2025</v>
      </c>
      <c r="J204" t="s">
        <v>122</v>
      </c>
      <c r="K204" s="5">
        <v>0.13793103448275862</v>
      </c>
    </row>
    <row r="205" spans="1:11" hidden="1" x14ac:dyDescent="0.3">
      <c r="A205" s="3">
        <v>45994</v>
      </c>
      <c r="B205" t="s">
        <v>25</v>
      </c>
      <c r="C205" t="s">
        <v>47</v>
      </c>
      <c r="D205" t="s">
        <v>81</v>
      </c>
      <c r="E205" t="s">
        <v>18</v>
      </c>
      <c r="F205" t="s">
        <v>28</v>
      </c>
      <c r="G205">
        <v>58000</v>
      </c>
      <c r="H205">
        <v>8400</v>
      </c>
      <c r="I205">
        <v>2025</v>
      </c>
      <c r="J205" t="s">
        <v>122</v>
      </c>
      <c r="K205" s="5">
        <v>0.14482758620689656</v>
      </c>
    </row>
    <row r="206" spans="1:11" hidden="1" x14ac:dyDescent="0.3">
      <c r="A206" s="3">
        <v>45995</v>
      </c>
      <c r="B206" t="s">
        <v>29</v>
      </c>
      <c r="C206" t="s">
        <v>49</v>
      </c>
      <c r="D206" t="s">
        <v>82</v>
      </c>
      <c r="E206" t="s">
        <v>23</v>
      </c>
      <c r="F206" t="s">
        <v>44</v>
      </c>
      <c r="G206">
        <v>33000</v>
      </c>
      <c r="H206">
        <v>4700</v>
      </c>
      <c r="I206">
        <v>2025</v>
      </c>
      <c r="J206" t="s">
        <v>122</v>
      </c>
      <c r="K206" s="5">
        <v>0.14242424242424243</v>
      </c>
    </row>
    <row r="207" spans="1:11" hidden="1" x14ac:dyDescent="0.3">
      <c r="A207" s="3">
        <v>45996</v>
      </c>
      <c r="B207" t="s">
        <v>33</v>
      </c>
      <c r="C207" t="s">
        <v>42</v>
      </c>
      <c r="D207" t="s">
        <v>83</v>
      </c>
      <c r="E207" t="s">
        <v>18</v>
      </c>
      <c r="F207" t="s">
        <v>36</v>
      </c>
      <c r="G207">
        <v>39000</v>
      </c>
      <c r="H207">
        <v>5800</v>
      </c>
      <c r="I207">
        <v>2025</v>
      </c>
      <c r="J207" t="s">
        <v>122</v>
      </c>
      <c r="K207" s="5">
        <v>0.14871794871794872</v>
      </c>
    </row>
    <row r="208" spans="1:11" hidden="1" x14ac:dyDescent="0.3">
      <c r="A208" s="3">
        <v>45997</v>
      </c>
      <c r="B208" t="s">
        <v>15</v>
      </c>
      <c r="C208" t="s">
        <v>16</v>
      </c>
      <c r="D208" t="s">
        <v>20</v>
      </c>
      <c r="E208" t="s">
        <v>18</v>
      </c>
      <c r="F208" t="s">
        <v>19</v>
      </c>
      <c r="G208">
        <v>29500</v>
      </c>
      <c r="H208">
        <v>4800</v>
      </c>
      <c r="I208">
        <v>2025</v>
      </c>
      <c r="J208" t="s">
        <v>122</v>
      </c>
      <c r="K208" s="5">
        <v>0.16271186440677965</v>
      </c>
    </row>
    <row r="209" spans="1:11" hidden="1" x14ac:dyDescent="0.3">
      <c r="A209" s="3">
        <v>45998</v>
      </c>
      <c r="B209" t="s">
        <v>15</v>
      </c>
      <c r="C209" t="s">
        <v>21</v>
      </c>
      <c r="D209" t="s">
        <v>22</v>
      </c>
      <c r="E209" t="s">
        <v>23</v>
      </c>
      <c r="F209" t="s">
        <v>40</v>
      </c>
      <c r="G209">
        <v>62000</v>
      </c>
      <c r="H209">
        <v>9200</v>
      </c>
      <c r="I209">
        <v>2025</v>
      </c>
      <c r="J209" t="s">
        <v>122</v>
      </c>
      <c r="K209" s="5">
        <v>0.14838709677419354</v>
      </c>
    </row>
    <row r="210" spans="1:11" hidden="1" x14ac:dyDescent="0.3">
      <c r="A210" s="3">
        <v>45999</v>
      </c>
      <c r="B210" t="s">
        <v>25</v>
      </c>
      <c r="C210" t="s">
        <v>26</v>
      </c>
      <c r="D210" t="s">
        <v>27</v>
      </c>
      <c r="E210" t="s">
        <v>18</v>
      </c>
      <c r="F210" t="s">
        <v>28</v>
      </c>
      <c r="G210">
        <v>56000</v>
      </c>
      <c r="H210">
        <v>8100</v>
      </c>
      <c r="I210">
        <v>2025</v>
      </c>
      <c r="J210" t="s">
        <v>122</v>
      </c>
      <c r="K210" s="5">
        <v>0.14464285714285716</v>
      </c>
    </row>
    <row r="211" spans="1:11" hidden="1" x14ac:dyDescent="0.3">
      <c r="A211" s="3">
        <v>46000</v>
      </c>
      <c r="B211" t="s">
        <v>29</v>
      </c>
      <c r="C211" t="s">
        <v>30</v>
      </c>
      <c r="D211" t="s">
        <v>78</v>
      </c>
      <c r="E211" t="s">
        <v>23</v>
      </c>
      <c r="F211" t="s">
        <v>32</v>
      </c>
      <c r="G211">
        <v>21000</v>
      </c>
      <c r="H211">
        <v>3100</v>
      </c>
      <c r="I211">
        <v>2025</v>
      </c>
      <c r="J211" t="s">
        <v>122</v>
      </c>
      <c r="K211" s="5">
        <v>0.14761904761904762</v>
      </c>
    </row>
    <row r="212" spans="1:11" hidden="1" x14ac:dyDescent="0.3">
      <c r="A212" s="3">
        <v>46001</v>
      </c>
      <c r="B212" t="s">
        <v>33</v>
      </c>
      <c r="C212" t="s">
        <v>34</v>
      </c>
      <c r="D212" t="s">
        <v>79</v>
      </c>
      <c r="E212" t="s">
        <v>18</v>
      </c>
      <c r="F212" t="s">
        <v>19</v>
      </c>
      <c r="G212">
        <v>27000</v>
      </c>
      <c r="H212">
        <v>4100</v>
      </c>
      <c r="I212">
        <v>2025</v>
      </c>
      <c r="J212" t="s">
        <v>122</v>
      </c>
      <c r="K212" s="5">
        <v>0.15185185185185185</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EA6927-E520-49B9-A848-3E5C53E62AF2}">
  <sheetPr>
    <tabColor rgb="FF7030A0"/>
  </sheetPr>
  <dimension ref="A3:B30"/>
  <sheetViews>
    <sheetView workbookViewId="0">
      <selection activeCell="R8" sqref="R8"/>
    </sheetView>
  </sheetViews>
  <sheetFormatPr defaultRowHeight="14.4" x14ac:dyDescent="0.3"/>
  <cols>
    <col min="1" max="1" width="12.44140625" bestFit="1" customWidth="1"/>
    <col min="2" max="2" width="11.5546875" bestFit="1" customWidth="1"/>
  </cols>
  <sheetData>
    <row r="3" spans="1:2" x14ac:dyDescent="0.3">
      <c r="A3" s="1" t="s">
        <v>0</v>
      </c>
      <c r="B3" t="s">
        <v>107</v>
      </c>
    </row>
    <row r="4" spans="1:2" x14ac:dyDescent="0.3">
      <c r="A4" s="2">
        <v>2024</v>
      </c>
      <c r="B4">
        <v>4416000</v>
      </c>
    </row>
    <row r="5" spans="1:2" x14ac:dyDescent="0.3">
      <c r="A5" s="4" t="s">
        <v>5</v>
      </c>
      <c r="B5">
        <v>995500</v>
      </c>
    </row>
    <row r="6" spans="1:2" x14ac:dyDescent="0.3">
      <c r="A6" s="4" t="s">
        <v>6</v>
      </c>
      <c r="B6">
        <v>1012000</v>
      </c>
    </row>
    <row r="7" spans="1:2" x14ac:dyDescent="0.3">
      <c r="A7" s="4" t="s">
        <v>7</v>
      </c>
      <c r="B7">
        <v>370000</v>
      </c>
    </row>
    <row r="8" spans="1:2" x14ac:dyDescent="0.3">
      <c r="A8" s="4" t="s">
        <v>106</v>
      </c>
      <c r="B8">
        <v>236000</v>
      </c>
    </row>
    <row r="9" spans="1:2" x14ac:dyDescent="0.3">
      <c r="A9" s="4" t="s">
        <v>119</v>
      </c>
      <c r="B9">
        <v>199500</v>
      </c>
    </row>
    <row r="10" spans="1:2" x14ac:dyDescent="0.3">
      <c r="A10" s="4" t="s">
        <v>115</v>
      </c>
      <c r="B10">
        <v>151500</v>
      </c>
    </row>
    <row r="11" spans="1:2" x14ac:dyDescent="0.3">
      <c r="A11" s="4" t="s">
        <v>120</v>
      </c>
      <c r="B11">
        <v>339500</v>
      </c>
    </row>
    <row r="12" spans="1:2" x14ac:dyDescent="0.3">
      <c r="A12" s="4" t="s">
        <v>116</v>
      </c>
      <c r="B12">
        <v>211500</v>
      </c>
    </row>
    <row r="13" spans="1:2" x14ac:dyDescent="0.3">
      <c r="A13" s="4" t="s">
        <v>117</v>
      </c>
      <c r="B13">
        <v>191500</v>
      </c>
    </row>
    <row r="14" spans="1:2" x14ac:dyDescent="0.3">
      <c r="A14" s="4" t="s">
        <v>121</v>
      </c>
      <c r="B14">
        <v>148000</v>
      </c>
    </row>
    <row r="15" spans="1:2" x14ac:dyDescent="0.3">
      <c r="A15" s="4" t="s">
        <v>118</v>
      </c>
      <c r="B15">
        <v>190000</v>
      </c>
    </row>
    <row r="16" spans="1:2" x14ac:dyDescent="0.3">
      <c r="A16" s="4" t="s">
        <v>122</v>
      </c>
      <c r="B16">
        <v>371000</v>
      </c>
    </row>
    <row r="17" spans="1:2" x14ac:dyDescent="0.3">
      <c r="A17" s="2">
        <v>2025</v>
      </c>
      <c r="B17">
        <v>2716500</v>
      </c>
    </row>
    <row r="18" spans="1:2" x14ac:dyDescent="0.3">
      <c r="A18" s="4" t="s">
        <v>5</v>
      </c>
      <c r="B18">
        <v>254000</v>
      </c>
    </row>
    <row r="19" spans="1:2" x14ac:dyDescent="0.3">
      <c r="A19" s="4" t="s">
        <v>6</v>
      </c>
      <c r="B19">
        <v>239000</v>
      </c>
    </row>
    <row r="20" spans="1:2" x14ac:dyDescent="0.3">
      <c r="A20" s="4" t="s">
        <v>7</v>
      </c>
      <c r="B20">
        <v>208000</v>
      </c>
    </row>
    <row r="21" spans="1:2" x14ac:dyDescent="0.3">
      <c r="A21" s="4" t="s">
        <v>106</v>
      </c>
      <c r="B21">
        <v>187000</v>
      </c>
    </row>
    <row r="22" spans="1:2" x14ac:dyDescent="0.3">
      <c r="A22" s="4" t="s">
        <v>119</v>
      </c>
      <c r="B22">
        <v>165500</v>
      </c>
    </row>
    <row r="23" spans="1:2" x14ac:dyDescent="0.3">
      <c r="A23" s="4" t="s">
        <v>115</v>
      </c>
      <c r="B23">
        <v>197000</v>
      </c>
    </row>
    <row r="24" spans="1:2" x14ac:dyDescent="0.3">
      <c r="A24" s="4" t="s">
        <v>120</v>
      </c>
      <c r="B24">
        <v>335000</v>
      </c>
    </row>
    <row r="25" spans="1:2" x14ac:dyDescent="0.3">
      <c r="A25" s="4" t="s">
        <v>116</v>
      </c>
      <c r="B25">
        <v>216000</v>
      </c>
    </row>
    <row r="26" spans="1:2" x14ac:dyDescent="0.3">
      <c r="A26" s="4" t="s">
        <v>117</v>
      </c>
      <c r="B26">
        <v>220000</v>
      </c>
    </row>
    <row r="27" spans="1:2" x14ac:dyDescent="0.3">
      <c r="A27" s="4" t="s">
        <v>121</v>
      </c>
      <c r="B27">
        <v>134000</v>
      </c>
    </row>
    <row r="28" spans="1:2" x14ac:dyDescent="0.3">
      <c r="A28" s="4" t="s">
        <v>118</v>
      </c>
      <c r="B28">
        <v>190000</v>
      </c>
    </row>
    <row r="29" spans="1:2" x14ac:dyDescent="0.3">
      <c r="A29" s="4" t="s">
        <v>122</v>
      </c>
      <c r="B29">
        <v>371000</v>
      </c>
    </row>
    <row r="30" spans="1:2" x14ac:dyDescent="0.3">
      <c r="A30" s="2" t="s">
        <v>1</v>
      </c>
      <c r="B30">
        <v>7132500</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E4ABEE-3CD5-495D-877A-62279A191F3D}">
  <sheetPr>
    <tabColor rgb="FF7030A0"/>
  </sheetPr>
  <dimension ref="A3:B8"/>
  <sheetViews>
    <sheetView zoomScale="108" zoomScaleNormal="100" workbookViewId="0">
      <selection activeCell="R8" sqref="R8"/>
    </sheetView>
  </sheetViews>
  <sheetFormatPr defaultRowHeight="14.4" x14ac:dyDescent="0.3"/>
  <cols>
    <col min="1" max="1" width="12.5546875" bestFit="1" customWidth="1"/>
    <col min="2" max="2" width="11.88671875" bestFit="1" customWidth="1"/>
  </cols>
  <sheetData>
    <row r="3" spans="1:2" x14ac:dyDescent="0.3">
      <c r="A3" s="1" t="s">
        <v>0</v>
      </c>
      <c r="B3" t="s">
        <v>108</v>
      </c>
    </row>
    <row r="4" spans="1:2" x14ac:dyDescent="0.3">
      <c r="A4" s="2" t="s">
        <v>15</v>
      </c>
      <c r="B4">
        <v>344000</v>
      </c>
    </row>
    <row r="5" spans="1:2" x14ac:dyDescent="0.3">
      <c r="A5" s="2" t="s">
        <v>25</v>
      </c>
      <c r="B5">
        <v>322700</v>
      </c>
    </row>
    <row r="6" spans="1:2" x14ac:dyDescent="0.3">
      <c r="A6" s="2" t="s">
        <v>33</v>
      </c>
      <c r="B6">
        <v>211700</v>
      </c>
    </row>
    <row r="7" spans="1:2" x14ac:dyDescent="0.3">
      <c r="A7" s="2" t="s">
        <v>29</v>
      </c>
      <c r="B7">
        <v>185400</v>
      </c>
    </row>
    <row r="8" spans="1:2" x14ac:dyDescent="0.3">
      <c r="A8" s="2" t="s">
        <v>1</v>
      </c>
      <c r="B8">
        <v>1063800</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8E83A2-8261-4F5B-8202-1E67048C579D}">
  <sheetPr>
    <tabColor rgb="FF7030A0"/>
  </sheetPr>
  <dimension ref="A3:B6"/>
  <sheetViews>
    <sheetView workbookViewId="0">
      <selection activeCell="R8" sqref="R8"/>
    </sheetView>
  </sheetViews>
  <sheetFormatPr defaultRowHeight="14.4" x14ac:dyDescent="0.3"/>
  <cols>
    <col min="1" max="1" width="12.44140625" bestFit="1" customWidth="1"/>
    <col min="2" max="2" width="16.6640625" bestFit="1" customWidth="1"/>
  </cols>
  <sheetData>
    <row r="3" spans="1:2" x14ac:dyDescent="0.3">
      <c r="A3" s="1" t="s">
        <v>0</v>
      </c>
      <c r="B3" t="s">
        <v>109</v>
      </c>
    </row>
    <row r="4" spans="1:2" x14ac:dyDescent="0.3">
      <c r="A4" s="2" t="s">
        <v>18</v>
      </c>
      <c r="B4" s="5">
        <v>0.15468383145355838</v>
      </c>
    </row>
    <row r="5" spans="1:2" x14ac:dyDescent="0.3">
      <c r="A5" s="2" t="s">
        <v>23</v>
      </c>
      <c r="B5" s="5">
        <v>0.14404106778399678</v>
      </c>
    </row>
    <row r="6" spans="1:2" x14ac:dyDescent="0.3">
      <c r="A6" s="2" t="s">
        <v>1</v>
      </c>
      <c r="B6" s="5">
        <v>0.15039646220278705</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F7083-2448-4C40-8848-E1E10C1664C1}">
  <sheetPr>
    <tabColor rgb="FF7030A0"/>
  </sheetPr>
  <dimension ref="A3:B9"/>
  <sheetViews>
    <sheetView topLeftCell="A3" workbookViewId="0">
      <selection activeCell="R8" sqref="R8"/>
    </sheetView>
  </sheetViews>
  <sheetFormatPr defaultRowHeight="14.4" x14ac:dyDescent="0.3"/>
  <cols>
    <col min="1" max="1" width="12.44140625" bestFit="1" customWidth="1"/>
    <col min="2" max="2" width="11.5546875" bestFit="1" customWidth="1"/>
  </cols>
  <sheetData>
    <row r="3" spans="1:2" x14ac:dyDescent="0.3">
      <c r="A3" s="1" t="s">
        <v>0</v>
      </c>
      <c r="B3" t="s">
        <v>108</v>
      </c>
    </row>
    <row r="4" spans="1:2" x14ac:dyDescent="0.3">
      <c r="A4" s="2" t="s">
        <v>20</v>
      </c>
      <c r="B4">
        <v>42000</v>
      </c>
    </row>
    <row r="5" spans="1:2" x14ac:dyDescent="0.3">
      <c r="A5" s="2" t="s">
        <v>81</v>
      </c>
      <c r="B5">
        <v>42000</v>
      </c>
    </row>
    <row r="6" spans="1:2" x14ac:dyDescent="0.3">
      <c r="A6" s="2" t="s">
        <v>17</v>
      </c>
      <c r="B6">
        <v>46000</v>
      </c>
    </row>
    <row r="7" spans="1:2" x14ac:dyDescent="0.3">
      <c r="A7" s="2" t="s">
        <v>22</v>
      </c>
      <c r="B7">
        <v>54000</v>
      </c>
    </row>
    <row r="8" spans="1:2" x14ac:dyDescent="0.3">
      <c r="A8" s="2" t="s">
        <v>27</v>
      </c>
      <c r="B8">
        <v>72500</v>
      </c>
    </row>
    <row r="9" spans="1:2" x14ac:dyDescent="0.3">
      <c r="A9" s="2" t="s">
        <v>1</v>
      </c>
      <c r="B9">
        <v>256500</v>
      </c>
    </row>
  </sheetData>
  <pageMargins left="0.7" right="0.7" top="0.75" bottom="0.75" header="0.3" footer="0.3"/>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F0A524F-D24C-47AF-8952-999B1FB3EBD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Day 20 - Dashboard</vt:lpstr>
      <vt:lpstr>Day 20 -Project - Raw data</vt:lpstr>
      <vt:lpstr>Day 20 - Power Qurey Table</vt:lpstr>
      <vt:lpstr>Day 20-  MONTH-WISE SALES TREND</vt:lpstr>
      <vt:lpstr>Day 20 -REGION-WISE PROFIT</vt:lpstr>
      <vt:lpstr>Day 20 - PROFIT MARGIN BY CATEG</vt:lpstr>
      <vt:lpstr>Day 20- TOP 5 CITIES BY PROFIT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samuvel M</dc:creator>
  <cp:lastModifiedBy>samuvel M</cp:lastModifiedBy>
  <dcterms:created xsi:type="dcterms:W3CDTF">2025-12-30T03:35:39Z</dcterms:created>
  <dcterms:modified xsi:type="dcterms:W3CDTF">2026-02-02T11:24:15Z</dcterms:modified>
</cp:coreProperties>
</file>